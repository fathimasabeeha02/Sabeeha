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<sst xmlns="http://schemas.openxmlformats.org/spreadsheetml/2006/main" count="175" uniqueCount="122">
  <si>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</si>
  <si>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</si>
  <si>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</si>
  <si>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</si>
  <si>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</si>
  <si>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</si>
  <si>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</si>
  <si>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</si>
  <si>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</si>
  <si>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</si>
  <si>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</si>
  <si>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</si>
  <si>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</si>
  <si>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</si>
  <si>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</si>
  <si>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</si>
  <si>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</si>
  <si>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</si>
  <si>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</si>
  <si>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</si>
  <si>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</si>
  <si>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</si>
  <si>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</si>
  <si>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</si>
  <si>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</si>
  <si>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</si>
  <si>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</si>
  <si>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</si>
  <si>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</si>
  <si>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</si>
  <si>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</si>
  <si>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ANSWERS</t>
  </si>
  <si>
    <t>15-FEB-US</t>
  </si>
  <si>
    <t>Sneakers</t>
  </si>
  <si>
    <t>Nike</t>
  </si>
  <si>
    <t>Fashion</t>
  </si>
  <si>
    <t>QUSTION-1</t>
  </si>
  <si>
    <t>03-MAR-US</t>
  </si>
  <si>
    <t>Coffee Maker</t>
  </si>
  <si>
    <t>Keurig</t>
  </si>
  <si>
    <t>Kitchen</t>
  </si>
  <si>
    <t xml:space="preserve">              (a)=</t>
  </si>
  <si>
    <t>11-APR-US</t>
  </si>
  <si>
    <t>Smartphone</t>
  </si>
  <si>
    <t>Samsung</t>
  </si>
  <si>
    <t xml:space="preserve">              (b)=</t>
  </si>
  <si>
    <t>22-MAY-US</t>
  </si>
  <si>
    <t>Backpack</t>
  </si>
  <si>
    <t>North Face</t>
  </si>
  <si>
    <t>Outdoor</t>
  </si>
  <si>
    <t xml:space="preserve">              (c)=</t>
  </si>
  <si>
    <t>07-JUN-UK</t>
  </si>
  <si>
    <t>Headphones</t>
  </si>
  <si>
    <t>Sony</t>
  </si>
  <si>
    <t>19-JUL-UK</t>
  </si>
  <si>
    <t>T-shirt</t>
  </si>
  <si>
    <t>Adidas</t>
  </si>
  <si>
    <t>QUSTION-2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</si>
  <si>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</si>
  <si>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</si>
  <si>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</si>
  <si>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</si>
  <si>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</si>
  <si>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</si>
  <si>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</si>
  <si>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</si>
  <si>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</si>
  <si>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</si>
  <si>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</si>
  <si>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QUSTION-4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</si>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</sst>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1"/>
      <color theme="1"/>
      <name val="Arial Black"/>
      <charset val="134"/>
    </font>
    <font>
      <sz val="11"/>
      <color rgb="FF000000"/>
      <name val="Arial Black"/>
      <charset val="134"/>
    </font>
    <font>
      <sz val="10"/>
      <color theme="1"/>
      <name val="Arial"/>
      <charset val="134"/>
    </font>
    <font>
      <sz val="14"/>
      <color rgb="FFC00000"/>
      <name val="Arial Black"/>
      <charset val="134"/>
    </font>
    <font>
      <sz val="18"/>
      <color rgb="FFFF0000"/>
      <name val="Arial Black"/>
      <charset val="134"/>
    </font>
    <font>
      <b/>
      <sz val="11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8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5" fillId="0" borderId="0" xfId="0" applyFont="1" applyAlignment="1">
      <alignment vertical="center"/>
    </xf>
    <xf numFmtId="0" fontId="4" fillId="4" borderId="9" xfId="0" applyFont="1" applyFill="1" applyBorder="1"/>
    <xf numFmtId="0" fontId="4" fillId="4" borderId="4" xfId="0" applyFont="1" applyFill="1" applyBorder="1"/>
    <xf numFmtId="0" fontId="4" fillId="0" borderId="10" xfId="0" applyFont="1" applyBorder="1"/>
    <xf numFmtId="0" fontId="0" fillId="0" borderId="9" xfId="0" applyFont="1" applyBorder="1" applyAlignment="1"/>
    <xf numFmtId="0" fontId="0" fillId="0" borderId="4" xfId="0" applyFont="1" applyBorder="1" applyAlignment="1"/>
    <xf numFmtId="0" fontId="0" fillId="0" borderId="10" xfId="0" applyFont="1" applyBorder="1" applyAlignment="1"/>
    <xf numFmtId="0" fontId="4" fillId="0" borderId="9" xfId="0" applyFont="1" applyBorder="1"/>
    <xf numFmtId="0" fontId="4" fillId="0" borderId="4" xfId="0" applyFont="1" applyBorder="1"/>
    <xf numFmtId="0" fontId="0" fillId="0" borderId="4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9" xfId="0" applyFont="1" applyBorder="1" applyAlignment="1"/>
    <xf numFmtId="0" fontId="6" fillId="3" borderId="0" xfId="0" applyFont="1" applyFill="1" applyAlignment="1"/>
    <xf numFmtId="0" fontId="0" fillId="0" borderId="0" xfId="0" applyFont="1" applyBorder="1" applyAlignment="1"/>
    <xf numFmtId="0" fontId="0" fillId="0" borderId="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4" fillId="0" borderId="13" xfId="0" applyFont="1" applyBorder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showGridLines="0" workbookViewId="0">
      <selection activeCell="A1" sqref="A1"/>
    </sheetView>
  </sheetViews>
  <sheetFormatPr defaultColWidth="12.6296296296296" defaultRowHeight="15" customHeight="1" outlineLevelCol="2"/>
  <cols>
    <col min="1" max="1" width="12.6296296296296" customWidth="1"/>
    <col min="2" max="2" width="7.5" customWidth="1"/>
    <col min="3" max="6" width="12.6296296296296" customWidth="1"/>
  </cols>
  <sheetData>
    <row r="1" ht="15.75" customHeight="1" spans="1:3">
      <c r="A1" s="34" t="s">
        <v>0</v>
      </c>
    </row>
    <row r="2" ht="15.75" customHeight="1"/>
    <row r="3" ht="15.75" customHeight="1" spans="1:3">
      <c r="B3" s="35" t="s">
        <v>1</v>
      </c>
    </row>
    <row r="4" ht="15.75" customHeight="1" spans="1:3">
      <c r="B4" s="35"/>
      <c r="C4" s="36" t="s">
        <v>2</v>
      </c>
    </row>
    <row r="5" ht="15.75" customHeight="1" spans="1:3">
      <c r="B5" s="35"/>
      <c r="C5" s="36" t="s">
        <v>3</v>
      </c>
    </row>
    <row r="6" ht="15.75" customHeight="1" spans="1:3">
      <c r="B6" s="35"/>
      <c r="C6" s="36" t="s">
        <v>4</v>
      </c>
    </row>
    <row r="7" ht="15.75" customHeight="1" spans="1:3">
      <c r="B7" s="37"/>
    </row>
    <row r="8" ht="15.75" customHeight="1" spans="1:3">
      <c r="B8" s="35" t="s">
        <v>5</v>
      </c>
    </row>
    <row r="9" ht="15.75" customHeight="1" spans="1:3">
      <c r="C9" s="36" t="s">
        <v>6</v>
      </c>
    </row>
    <row r="10" ht="15.75" customHeight="1" spans="1:3">
      <c r="C10" s="36" t="s">
        <v>7</v>
      </c>
    </row>
    <row r="11" ht="15.75" customHeight="1" spans="1:3">
      <c r="B11" s="37"/>
    </row>
    <row r="12" ht="15.75" customHeight="1" spans="1:3">
      <c r="B12" s="35" t="s">
        <v>8</v>
      </c>
    </row>
    <row r="13" ht="15.75" customHeight="1" spans="1:3">
      <c r="C13" s="36" t="s">
        <v>9</v>
      </c>
    </row>
    <row r="14" ht="15.75" customHeight="1" spans="1:3">
      <c r="B14" s="37"/>
    </row>
    <row r="15" ht="15.75" customHeight="1" spans="1:3">
      <c r="B15" s="35" t="s">
        <v>10</v>
      </c>
    </row>
    <row r="16" ht="15.75" customHeight="1" spans="1:3">
      <c r="C16" s="36" t="s">
        <v>11</v>
      </c>
    </row>
    <row r="17" ht="15.75" customHeight="1" spans="2:3">
      <c r="C17" s="36" t="s">
        <v>12</v>
      </c>
    </row>
    <row r="18" ht="15.75" customHeight="1" spans="2:3">
      <c r="B18" s="37"/>
    </row>
    <row r="19" ht="15.75" customHeight="1" spans="2:3">
      <c r="B19" s="35" t="s">
        <v>13</v>
      </c>
    </row>
    <row r="20" ht="15.75" customHeight="1" spans="2:3">
      <c r="C20" s="36" t="s">
        <v>14</v>
      </c>
    </row>
    <row r="21" ht="15.75" customHeight="1" spans="2:3">
      <c r="C21" s="36" t="s">
        <v>15</v>
      </c>
    </row>
    <row r="22" ht="15.75" customHeight="1" spans="2:3">
      <c r="C22" s="36" t="s">
        <v>16</v>
      </c>
    </row>
    <row r="23" ht="15.75" customHeight="1" spans="2:3">
      <c r="B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000"/>
  <sheetViews>
    <sheetView tabSelected="1" workbookViewId="0">
      <selection activeCell="N15" sqref="N15"/>
    </sheetView>
  </sheetViews>
  <sheetFormatPr defaultColWidth="12.6296296296296" defaultRowHeight="15" customHeight="1"/>
  <cols>
    <col min="1" max="1" width="12.6296296296296" customWidth="1"/>
    <col min="2" max="2" width="14.1296296296296" customWidth="1"/>
    <col min="3" max="6" width="12.6296296296296" customWidth="1"/>
    <col min="7" max="7" width="15.2222222222222" customWidth="1"/>
    <col min="8" max="8" width="22.2222222222222" customWidth="1"/>
    <col min="10" max="10" width="16.1111111111111" customWidth="1"/>
    <col min="14" max="14" width="15.7777777777778" customWidth="1"/>
  </cols>
  <sheetData>
    <row r="1" ht="15.75" customHeight="1" spans="1:14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3" t="s">
        <v>23</v>
      </c>
      <c r="H1"/>
      <c r="I1" s="4" t="s">
        <v>24</v>
      </c>
      <c r="J1" s="5" t="s">
        <v>25</v>
      </c>
      <c r="K1" s="6" t="s">
        <v>26</v>
      </c>
    </row>
    <row r="2" ht="15.75" customHeight="1" spans="1:14">
      <c r="A2" s="7" t="s">
        <v>27</v>
      </c>
      <c r="B2" s="8" t="s">
        <v>28</v>
      </c>
      <c r="C2" s="8" t="s">
        <v>29</v>
      </c>
      <c r="D2" s="8">
        <v>1000</v>
      </c>
      <c r="E2" s="8">
        <v>30</v>
      </c>
      <c r="F2" s="8" t="s">
        <v>30</v>
      </c>
      <c r="G2" s="9" t="str">
        <f>IF(D2&gt;=500,"High Price","Standard Price")</f>
        <v>High Price</v>
      </c>
      <c r="I2" s="10" t="str">
        <f>LEFT(A2,2)</f>
        <v>28</v>
      </c>
      <c r="J2" s="11" t="str">
        <f>RIGHT(A2,2)</f>
        <v>US</v>
      </c>
      <c r="K2" s="12" t="str">
        <f>MID(A2,4,3)</f>
        <v>JAN</v>
      </c>
      <c r="N2" s="13" t="s">
        <v>31</v>
      </c>
    </row>
    <row r="3" ht="15.75" customHeight="1" spans="1:14">
      <c r="A3" s="14" t="s">
        <v>32</v>
      </c>
      <c r="B3" s="15" t="s">
        <v>33</v>
      </c>
      <c r="C3" s="15" t="s">
        <v>34</v>
      </c>
      <c r="D3" s="15">
        <v>80</v>
      </c>
      <c r="E3" s="15">
        <v>15</v>
      </c>
      <c r="F3" s="15" t="s">
        <v>35</v>
      </c>
      <c r="G3" s="16" t="str">
        <f t="shared" ref="G3:G49" si="0">IF(D3&gt;=500,"High Price","Standard Price")</f>
        <v>Standard Price</v>
      </c>
      <c r="I3" s="17" t="str">
        <f t="shared" ref="I3:I18" si="1">LEFT(A3,2)</f>
        <v>15</v>
      </c>
      <c r="J3" s="18" t="str">
        <f t="shared" ref="J3:J26" si="2">RIGHT(A3,2)</f>
        <v>US</v>
      </c>
      <c r="K3" s="19" t="str">
        <f t="shared" ref="K3:K34" si="3">MID(A3,4,3)</f>
        <v>FEB</v>
      </c>
      <c r="M3" t="s">
        <v>36</v>
      </c>
    </row>
    <row r="4" ht="15.75" customHeight="1" spans="1:14">
      <c r="A4" s="20" t="s">
        <v>37</v>
      </c>
      <c r="B4" s="21" t="s">
        <v>38</v>
      </c>
      <c r="C4" s="21" t="s">
        <v>39</v>
      </c>
      <c r="D4" s="21">
        <v>130</v>
      </c>
      <c r="E4" s="21">
        <v>40</v>
      </c>
      <c r="F4" s="21" t="s">
        <v>40</v>
      </c>
      <c r="G4" s="16" t="str">
        <f t="shared" si="0"/>
        <v>Standard Price</v>
      </c>
      <c r="I4" s="17" t="str">
        <f t="shared" si="1"/>
        <v>03</v>
      </c>
      <c r="J4" s="18" t="str">
        <f t="shared" si="2"/>
        <v>US</v>
      </c>
      <c r="K4" s="19" t="str">
        <f t="shared" si="3"/>
        <v>MAR</v>
      </c>
      <c r="M4" t="s">
        <v>41</v>
      </c>
      <c r="N4">
        <v>10100</v>
      </c>
    </row>
    <row r="5" ht="15.75" customHeight="1" spans="1:14">
      <c r="A5" s="14" t="s">
        <v>42</v>
      </c>
      <c r="B5" s="15" t="s">
        <v>43</v>
      </c>
      <c r="C5" s="15" t="s">
        <v>44</v>
      </c>
      <c r="D5" s="15">
        <v>900</v>
      </c>
      <c r="E5" s="15">
        <v>25</v>
      </c>
      <c r="F5" s="15" t="s">
        <v>30</v>
      </c>
      <c r="G5" s="16" t="str">
        <f t="shared" si="0"/>
        <v>High Price</v>
      </c>
      <c r="I5" s="17" t="str">
        <f t="shared" si="1"/>
        <v>11</v>
      </c>
      <c r="J5" s="18" t="str">
        <f t="shared" si="2"/>
        <v>US</v>
      </c>
      <c r="K5" s="19" t="str">
        <f t="shared" si="3"/>
        <v>APR</v>
      </c>
      <c r="M5" t="s">
        <v>45</v>
      </c>
      <c r="N5">
        <v>34</v>
      </c>
    </row>
    <row r="6" ht="15.75" customHeight="1" spans="1:14">
      <c r="A6" s="20" t="s">
        <v>46</v>
      </c>
      <c r="B6" s="21" t="s">
        <v>47</v>
      </c>
      <c r="C6" s="21" t="s">
        <v>48</v>
      </c>
      <c r="D6" s="21">
        <v>70</v>
      </c>
      <c r="E6" s="21">
        <v>20</v>
      </c>
      <c r="F6" s="21" t="s">
        <v>49</v>
      </c>
      <c r="G6" s="16" t="str">
        <f t="shared" si="0"/>
        <v>Standard Price</v>
      </c>
      <c r="I6" s="17" t="str">
        <f t="shared" si="1"/>
        <v>22</v>
      </c>
      <c r="J6" s="18" t="str">
        <f t="shared" si="2"/>
        <v>US</v>
      </c>
      <c r="K6" s="19" t="str">
        <f t="shared" si="3"/>
        <v>MAY</v>
      </c>
      <c r="M6" t="s">
        <v>50</v>
      </c>
      <c r="N6">
        <v>297.0588235</v>
      </c>
    </row>
    <row r="7" ht="15.75" customHeight="1" spans="1:14">
      <c r="A7" s="14" t="s">
        <v>51</v>
      </c>
      <c r="B7" s="15" t="s">
        <v>52</v>
      </c>
      <c r="C7" s="15" t="s">
        <v>53</v>
      </c>
      <c r="D7" s="15">
        <v>200</v>
      </c>
      <c r="E7" s="15">
        <v>45</v>
      </c>
      <c r="F7" s="15" t="s">
        <v>30</v>
      </c>
      <c r="G7" s="16" t="str">
        <f t="shared" si="0"/>
        <v>Standard Price</v>
      </c>
      <c r="I7" s="17" t="str">
        <f t="shared" si="1"/>
        <v>07</v>
      </c>
      <c r="J7" s="18" t="str">
        <f t="shared" si="2"/>
        <v>UK</v>
      </c>
      <c r="K7" s="19" t="str">
        <f t="shared" si="3"/>
        <v>JUN</v>
      </c>
    </row>
    <row r="8" ht="15.75" customHeight="1" spans="1:14">
      <c r="A8" s="20" t="s">
        <v>54</v>
      </c>
      <c r="B8" s="21" t="s">
        <v>55</v>
      </c>
      <c r="C8" s="21" t="s">
        <v>56</v>
      </c>
      <c r="D8" s="21">
        <v>30</v>
      </c>
      <c r="E8" s="21">
        <v>5</v>
      </c>
      <c r="F8" s="21" t="s">
        <v>35</v>
      </c>
      <c r="G8" s="16" t="str">
        <f t="shared" si="0"/>
        <v>Standard Price</v>
      </c>
      <c r="I8" s="17" t="str">
        <f t="shared" si="1"/>
        <v>19</v>
      </c>
      <c r="J8" s="18" t="str">
        <f t="shared" si="2"/>
        <v>UK</v>
      </c>
      <c r="K8" s="19" t="str">
        <f t="shared" si="3"/>
        <v>JUL</v>
      </c>
      <c r="M8" t="s">
        <v>57</v>
      </c>
    </row>
    <row r="9" ht="15.75" customHeight="1" spans="1:14">
      <c r="A9" s="14" t="s">
        <v>58</v>
      </c>
      <c r="B9" s="15" t="s">
        <v>59</v>
      </c>
      <c r="C9" s="15" t="s">
        <v>60</v>
      </c>
      <c r="D9" s="15">
        <v>90</v>
      </c>
      <c r="E9" s="15">
        <v>35</v>
      </c>
      <c r="F9" s="15" t="s">
        <v>40</v>
      </c>
      <c r="G9" s="16" t="str">
        <f t="shared" si="0"/>
        <v>Standard Price</v>
      </c>
      <c r="I9" s="17" t="str">
        <f t="shared" si="1"/>
        <v>23</v>
      </c>
      <c r="J9" s="18" t="str">
        <f t="shared" si="2"/>
        <v>UK</v>
      </c>
      <c r="K9" s="19" t="str">
        <f t="shared" si="3"/>
        <v>AUG</v>
      </c>
      <c r="M9" t="s">
        <v>41</v>
      </c>
      <c r="N9">
        <v>30</v>
      </c>
    </row>
    <row r="10" ht="15.75" customHeight="1" spans="1:14">
      <c r="A10" s="20" t="s">
        <v>61</v>
      </c>
      <c r="B10" s="21" t="s">
        <v>62</v>
      </c>
      <c r="C10" s="21" t="s">
        <v>63</v>
      </c>
      <c r="D10" s="21">
        <v>500</v>
      </c>
      <c r="E10" s="21">
        <v>50</v>
      </c>
      <c r="F10" s="21" t="s">
        <v>30</v>
      </c>
      <c r="G10" s="16" t="str">
        <f t="shared" si="0"/>
        <v>High Price</v>
      </c>
      <c r="I10" s="17" t="str">
        <f t="shared" si="1"/>
        <v>05</v>
      </c>
      <c r="J10" s="18" t="str">
        <f t="shared" si="2"/>
        <v>UK</v>
      </c>
      <c r="K10" s="19" t="str">
        <f t="shared" si="3"/>
        <v>SEP</v>
      </c>
      <c r="M10" t="s">
        <v>45</v>
      </c>
      <c r="N10">
        <v>1000</v>
      </c>
    </row>
    <row r="11" ht="15.75" customHeight="1" spans="1:14">
      <c r="A11" s="14" t="s">
        <v>64</v>
      </c>
      <c r="B11" s="15" t="s">
        <v>65</v>
      </c>
      <c r="C11" s="15" t="s">
        <v>66</v>
      </c>
      <c r="D11" s="15">
        <v>130</v>
      </c>
      <c r="E11" s="15">
        <v>10</v>
      </c>
      <c r="F11" s="15" t="s">
        <v>49</v>
      </c>
      <c r="G11" s="16" t="str">
        <f t="shared" si="0"/>
        <v>Standard Price</v>
      </c>
      <c r="I11" s="17" t="str">
        <f t="shared" si="1"/>
        <v>14</v>
      </c>
      <c r="J11" s="18" t="str">
        <f t="shared" si="2"/>
        <v>UK</v>
      </c>
      <c r="K11" s="19" t="str">
        <f t="shared" si="3"/>
        <v>OCT</v>
      </c>
    </row>
    <row r="12" ht="15.75" customHeight="1" spans="1:14">
      <c r="A12" s="20" t="s">
        <v>67</v>
      </c>
      <c r="B12" s="21" t="s">
        <v>28</v>
      </c>
      <c r="C12" s="21" t="s">
        <v>68</v>
      </c>
      <c r="D12" s="21">
        <v>950</v>
      </c>
      <c r="E12" s="21">
        <v>25</v>
      </c>
      <c r="F12" s="21" t="s">
        <v>30</v>
      </c>
      <c r="G12" s="16" t="str">
        <f t="shared" si="0"/>
        <v>High Price</v>
      </c>
      <c r="I12" s="17" t="str">
        <f t="shared" si="1"/>
        <v>17</v>
      </c>
      <c r="J12" s="18" t="str">
        <f t="shared" si="2"/>
        <v>IN</v>
      </c>
      <c r="K12" s="19" t="str">
        <f t="shared" si="3"/>
        <v>JUN</v>
      </c>
      <c r="M12" t="s">
        <v>69</v>
      </c>
    </row>
    <row r="13" ht="15.75" customHeight="1" spans="1:14">
      <c r="A13" s="14" t="s">
        <v>70</v>
      </c>
      <c r="B13" s="15" t="s">
        <v>33</v>
      </c>
      <c r="C13" s="15" t="s">
        <v>56</v>
      </c>
      <c r="D13" s="15">
        <v>90</v>
      </c>
      <c r="E13" s="15">
        <v>40</v>
      </c>
      <c r="F13" s="15" t="s">
        <v>35</v>
      </c>
      <c r="G13" s="16" t="str">
        <f t="shared" si="0"/>
        <v>Standard Price</v>
      </c>
      <c r="I13" s="17" t="str">
        <f t="shared" si="1"/>
        <v>25</v>
      </c>
      <c r="J13" s="18" t="str">
        <f t="shared" si="2"/>
        <v>AU</v>
      </c>
      <c r="K13" s="19" t="str">
        <f t="shared" si="3"/>
        <v>NOV</v>
      </c>
      <c r="M13" t="s">
        <v>41</v>
      </c>
      <c r="N13">
        <v>8050</v>
      </c>
    </row>
    <row r="14" ht="15.75" customHeight="1" spans="1:14">
      <c r="A14" s="20" t="s">
        <v>71</v>
      </c>
      <c r="B14" s="21" t="s">
        <v>38</v>
      </c>
      <c r="C14" s="21" t="s">
        <v>72</v>
      </c>
      <c r="D14" s="21">
        <v>120</v>
      </c>
      <c r="E14" s="21">
        <v>35</v>
      </c>
      <c r="F14" s="21" t="s">
        <v>40</v>
      </c>
      <c r="G14" s="16" t="str">
        <f t="shared" si="0"/>
        <v>Standard Price</v>
      </c>
      <c r="I14" s="17" t="str">
        <f t="shared" si="1"/>
        <v>08</v>
      </c>
      <c r="J14" s="18" t="str">
        <f t="shared" si="2"/>
        <v>DE</v>
      </c>
      <c r="K14" s="19" t="str">
        <f t="shared" si="3"/>
        <v>DEC</v>
      </c>
      <c r="M14" t="s">
        <v>45</v>
      </c>
      <c r="N14">
        <v>11</v>
      </c>
    </row>
    <row r="15" ht="15.75" customHeight="1" spans="1:14">
      <c r="A15" s="14" t="s">
        <v>73</v>
      </c>
      <c r="B15" s="15" t="s">
        <v>74</v>
      </c>
      <c r="C15" s="15" t="s">
        <v>75</v>
      </c>
      <c r="D15" s="15">
        <v>150</v>
      </c>
      <c r="E15" s="15">
        <v>15</v>
      </c>
      <c r="F15" s="15" t="s">
        <v>30</v>
      </c>
      <c r="G15" s="16" t="str">
        <f t="shared" si="0"/>
        <v>Standard Price</v>
      </c>
      <c r="I15" s="17" t="str">
        <f t="shared" si="1"/>
        <v>18</v>
      </c>
      <c r="J15" s="18" t="str">
        <f t="shared" si="2"/>
        <v>CA</v>
      </c>
      <c r="K15" s="19" t="str">
        <f t="shared" si="3"/>
        <v>FEB</v>
      </c>
    </row>
    <row r="16" ht="15.75" customHeight="1" spans="1:14">
      <c r="A16" s="20" t="s">
        <v>76</v>
      </c>
      <c r="B16" s="21" t="s">
        <v>52</v>
      </c>
      <c r="C16" s="21" t="s">
        <v>77</v>
      </c>
      <c r="D16" s="21">
        <v>250</v>
      </c>
      <c r="E16" s="21">
        <v>20</v>
      </c>
      <c r="F16" s="21" t="s">
        <v>30</v>
      </c>
      <c r="G16" s="16" t="str">
        <f t="shared" si="0"/>
        <v>Standard Price</v>
      </c>
      <c r="I16" s="17" t="str">
        <f t="shared" si="1"/>
        <v>16</v>
      </c>
      <c r="J16" s="18" t="str">
        <f t="shared" si="2"/>
        <v>ES</v>
      </c>
      <c r="K16" s="19" t="str">
        <f t="shared" si="3"/>
        <v>APR</v>
      </c>
    </row>
    <row r="17" ht="15.75" customHeight="1" spans="1:13">
      <c r="A17" s="14" t="s">
        <v>78</v>
      </c>
      <c r="B17" s="15" t="s">
        <v>79</v>
      </c>
      <c r="C17" s="15" t="s">
        <v>80</v>
      </c>
      <c r="D17" s="15">
        <v>50</v>
      </c>
      <c r="E17" s="15">
        <v>35</v>
      </c>
      <c r="F17" s="15" t="s">
        <v>81</v>
      </c>
      <c r="G17" s="16" t="str">
        <f t="shared" si="0"/>
        <v>Standard Price</v>
      </c>
      <c r="I17" s="17" t="str">
        <f t="shared" si="1"/>
        <v>21</v>
      </c>
      <c r="J17" s="18" t="str">
        <f t="shared" si="2"/>
        <v>CA</v>
      </c>
      <c r="K17" s="19" t="str">
        <f t="shared" si="3"/>
        <v>AUG</v>
      </c>
    </row>
    <row r="18" ht="15.75" customHeight="1" spans="1:13">
      <c r="A18" s="20" t="s">
        <v>82</v>
      </c>
      <c r="B18" s="21" t="s">
        <v>74</v>
      </c>
      <c r="C18" s="21" t="s">
        <v>83</v>
      </c>
      <c r="D18" s="21">
        <v>160</v>
      </c>
      <c r="E18" s="21">
        <v>15</v>
      </c>
      <c r="F18" s="21" t="s">
        <v>30</v>
      </c>
      <c r="G18" s="16" t="str">
        <f t="shared" si="0"/>
        <v>Standard Price</v>
      </c>
      <c r="I18" s="17" t="str">
        <f t="shared" si="1"/>
        <v>20</v>
      </c>
      <c r="J18" s="18" t="str">
        <f t="shared" si="2"/>
        <v>CN</v>
      </c>
      <c r="K18" s="19" t="str">
        <f t="shared" si="3"/>
        <v>AUG</v>
      </c>
    </row>
    <row r="19" ht="15.75" customHeight="1" spans="1:13">
      <c r="A19" s="14" t="s">
        <v>84</v>
      </c>
      <c r="B19" s="15" t="s">
        <v>28</v>
      </c>
      <c r="C19" s="15" t="s">
        <v>85</v>
      </c>
      <c r="D19" s="15">
        <v>980</v>
      </c>
      <c r="E19" s="15">
        <v>10</v>
      </c>
      <c r="F19" s="15" t="s">
        <v>30</v>
      </c>
      <c r="G19" s="16" t="str">
        <f t="shared" si="0"/>
        <v>High Price</v>
      </c>
      <c r="I19" s="17" t="str">
        <f t="shared" ref="I19:I33" si="4">LEFT(A19,2)</f>
        <v>27</v>
      </c>
      <c r="J19" s="18" t="str">
        <f t="shared" si="2"/>
        <v>IT</v>
      </c>
      <c r="K19" s="19" t="str">
        <f t="shared" si="3"/>
        <v>JAN</v>
      </c>
    </row>
    <row r="20" ht="15.75" customHeight="1" spans="1:13">
      <c r="A20" s="20" t="s">
        <v>86</v>
      </c>
      <c r="B20" s="21" t="s">
        <v>87</v>
      </c>
      <c r="C20" s="21" t="s">
        <v>88</v>
      </c>
      <c r="D20" s="21">
        <v>150</v>
      </c>
      <c r="E20" s="21">
        <v>15</v>
      </c>
      <c r="F20" s="21" t="s">
        <v>35</v>
      </c>
      <c r="G20" s="16" t="str">
        <f t="shared" si="0"/>
        <v>Standard Price</v>
      </c>
      <c r="I20" s="17" t="str">
        <f t="shared" si="4"/>
        <v>01</v>
      </c>
      <c r="J20" s="18" t="str">
        <f t="shared" si="2"/>
        <v>UK</v>
      </c>
      <c r="K20" s="19" t="str">
        <f t="shared" si="3"/>
        <v>MAR</v>
      </c>
    </row>
    <row r="21" ht="15.75" customHeight="1" spans="1:13">
      <c r="A21" s="14" t="s">
        <v>89</v>
      </c>
      <c r="B21" s="15" t="s">
        <v>90</v>
      </c>
      <c r="C21" s="15" t="s">
        <v>91</v>
      </c>
      <c r="D21" s="15">
        <v>200</v>
      </c>
      <c r="E21" s="15">
        <v>10</v>
      </c>
      <c r="F21" s="15" t="s">
        <v>49</v>
      </c>
      <c r="G21" s="16" t="str">
        <f t="shared" si="0"/>
        <v>Standard Price</v>
      </c>
      <c r="I21" s="17" t="str">
        <f t="shared" si="4"/>
        <v>14</v>
      </c>
      <c r="J21" s="18" t="str">
        <f t="shared" si="2"/>
        <v>US</v>
      </c>
      <c r="K21" s="19" t="str">
        <f t="shared" si="3"/>
        <v>AUG</v>
      </c>
    </row>
    <row r="22" ht="15.75" customHeight="1" spans="1:13">
      <c r="A22" s="20" t="s">
        <v>92</v>
      </c>
      <c r="B22" s="21" t="s">
        <v>93</v>
      </c>
      <c r="C22" s="21" t="s">
        <v>94</v>
      </c>
      <c r="D22" s="21">
        <v>700</v>
      </c>
      <c r="E22" s="21">
        <v>50</v>
      </c>
      <c r="F22" s="21" t="s">
        <v>30</v>
      </c>
      <c r="G22" s="16" t="str">
        <f t="shared" si="0"/>
        <v>High Price</v>
      </c>
      <c r="I22" s="17" t="str">
        <f t="shared" si="4"/>
        <v>14</v>
      </c>
      <c r="J22" s="18" t="str">
        <f t="shared" si="2"/>
        <v>RU</v>
      </c>
      <c r="K22" s="19" t="str">
        <f t="shared" si="3"/>
        <v>MAY</v>
      </c>
    </row>
    <row r="23" ht="15.75" customHeight="1" spans="1:13">
      <c r="A23" s="14" t="s">
        <v>95</v>
      </c>
      <c r="B23" s="15" t="s">
        <v>96</v>
      </c>
      <c r="C23" s="15" t="s">
        <v>97</v>
      </c>
      <c r="D23" s="15">
        <v>80</v>
      </c>
      <c r="E23" s="15">
        <v>20</v>
      </c>
      <c r="F23" s="15" t="s">
        <v>40</v>
      </c>
      <c r="G23" s="16" t="str">
        <f t="shared" si="0"/>
        <v>Standard Price</v>
      </c>
      <c r="I23" s="17" t="str">
        <f t="shared" si="4"/>
        <v>09</v>
      </c>
      <c r="J23" s="18" t="str">
        <f t="shared" si="2"/>
        <v>CA</v>
      </c>
      <c r="K23" s="19" t="str">
        <f t="shared" si="3"/>
        <v>JAN</v>
      </c>
    </row>
    <row r="24" ht="15.75" customHeight="1" spans="1:13">
      <c r="A24" s="20" t="s">
        <v>98</v>
      </c>
      <c r="B24" s="21" t="s">
        <v>99</v>
      </c>
      <c r="C24" s="21" t="s">
        <v>100</v>
      </c>
      <c r="D24" s="21">
        <v>150</v>
      </c>
      <c r="E24" s="21">
        <v>30</v>
      </c>
      <c r="F24" s="21" t="s">
        <v>30</v>
      </c>
      <c r="G24" s="16" t="str">
        <f t="shared" si="0"/>
        <v>Standard Price</v>
      </c>
      <c r="I24" s="17" t="str">
        <f t="shared" si="4"/>
        <v>19</v>
      </c>
      <c r="J24" s="18" t="str">
        <f t="shared" si="2"/>
        <v>BR</v>
      </c>
      <c r="K24" s="19" t="str">
        <f t="shared" si="3"/>
        <v>JUL</v>
      </c>
    </row>
    <row r="25" ht="15.75" customHeight="1" spans="1:13">
      <c r="A25" s="14" t="s">
        <v>78</v>
      </c>
      <c r="B25" s="15" t="s">
        <v>79</v>
      </c>
      <c r="C25" s="15" t="s">
        <v>80</v>
      </c>
      <c r="D25" s="15">
        <v>50</v>
      </c>
      <c r="E25" s="15">
        <v>35</v>
      </c>
      <c r="F25" s="15" t="s">
        <v>81</v>
      </c>
      <c r="G25" s="16" t="str">
        <f t="shared" si="0"/>
        <v>Standard Price</v>
      </c>
      <c r="I25" s="17" t="str">
        <f t="shared" si="4"/>
        <v>21</v>
      </c>
      <c r="J25" s="18" t="str">
        <f t="shared" si="2"/>
        <v>CA</v>
      </c>
      <c r="K25" s="19" t="str">
        <f t="shared" si="3"/>
        <v>AUG</v>
      </c>
    </row>
    <row r="26" ht="15.75" customHeight="1" spans="1:13">
      <c r="A26" s="20" t="s">
        <v>101</v>
      </c>
      <c r="B26" s="21" t="s">
        <v>43</v>
      </c>
      <c r="C26" s="21" t="s">
        <v>102</v>
      </c>
      <c r="D26" s="21">
        <v>800</v>
      </c>
      <c r="E26" s="21">
        <v>45</v>
      </c>
      <c r="F26" s="21" t="s">
        <v>30</v>
      </c>
      <c r="G26" s="16" t="str">
        <f t="shared" si="0"/>
        <v>High Price</v>
      </c>
      <c r="I26" s="17" t="str">
        <f t="shared" si="4"/>
        <v>29</v>
      </c>
      <c r="J26" s="18" t="str">
        <f t="shared" si="2"/>
        <v>CA</v>
      </c>
      <c r="K26" s="19" t="str">
        <f t="shared" si="3"/>
        <v>SEP</v>
      </c>
    </row>
    <row r="27" ht="15.75" customHeight="1" spans="1:13">
      <c r="A27" s="14" t="s">
        <v>103</v>
      </c>
      <c r="B27" s="15" t="s">
        <v>87</v>
      </c>
      <c r="C27" s="15" t="s">
        <v>104</v>
      </c>
      <c r="D27" s="15">
        <v>130</v>
      </c>
      <c r="E27" s="15">
        <v>25</v>
      </c>
      <c r="F27" s="15" t="s">
        <v>35</v>
      </c>
      <c r="G27" s="16" t="str">
        <f t="shared" si="0"/>
        <v>Standard Price</v>
      </c>
      <c r="I27" s="17" t="str">
        <f t="shared" si="4"/>
        <v>03</v>
      </c>
      <c r="J27" s="18" t="str">
        <f t="shared" ref="J27:J32" si="5">RIGHT(A27,2)</f>
        <v>CA</v>
      </c>
      <c r="K27" s="19" t="str">
        <f t="shared" si="3"/>
        <v>JUN</v>
      </c>
    </row>
    <row r="28" ht="15.75" customHeight="1" spans="1:13">
      <c r="A28" s="20" t="s">
        <v>105</v>
      </c>
      <c r="B28" s="21" t="s">
        <v>59</v>
      </c>
      <c r="C28" s="21" t="s">
        <v>106</v>
      </c>
      <c r="D28" s="21">
        <v>400</v>
      </c>
      <c r="E28" s="21">
        <v>40</v>
      </c>
      <c r="F28" s="21" t="s">
        <v>40</v>
      </c>
      <c r="G28" s="16" t="str">
        <f t="shared" si="0"/>
        <v>Standard Price</v>
      </c>
      <c r="I28" s="17" t="str">
        <f t="shared" si="4"/>
        <v>11</v>
      </c>
      <c r="J28" s="18" t="str">
        <f t="shared" si="5"/>
        <v>CA</v>
      </c>
      <c r="K28" s="19" t="str">
        <f t="shared" si="3"/>
        <v>JUL</v>
      </c>
    </row>
    <row r="29" ht="15.75" customHeight="1" spans="1:13">
      <c r="A29" s="14" t="s">
        <v>76</v>
      </c>
      <c r="B29" s="15" t="s">
        <v>52</v>
      </c>
      <c r="C29" s="15" t="s">
        <v>77</v>
      </c>
      <c r="D29" s="15">
        <v>230</v>
      </c>
      <c r="E29" s="15">
        <v>20</v>
      </c>
      <c r="F29" s="15" t="s">
        <v>30</v>
      </c>
      <c r="G29" s="16" t="str">
        <f t="shared" si="0"/>
        <v>Standard Price</v>
      </c>
      <c r="I29" s="17" t="str">
        <f t="shared" si="4"/>
        <v>16</v>
      </c>
      <c r="J29" s="18" t="str">
        <f t="shared" si="5"/>
        <v>ES</v>
      </c>
      <c r="K29" s="19" t="str">
        <f t="shared" si="3"/>
        <v>APR</v>
      </c>
      <c r="M29" s="22"/>
    </row>
    <row r="30" ht="15.75" customHeight="1" spans="1:13">
      <c r="A30" s="20" t="s">
        <v>107</v>
      </c>
      <c r="B30" s="21" t="s">
        <v>108</v>
      </c>
      <c r="C30" s="21" t="s">
        <v>109</v>
      </c>
      <c r="D30" s="21">
        <v>60</v>
      </c>
      <c r="E30" s="21">
        <v>30</v>
      </c>
      <c r="F30" s="21" t="s">
        <v>35</v>
      </c>
      <c r="G30" s="16" t="str">
        <f t="shared" si="0"/>
        <v>Standard Price</v>
      </c>
      <c r="I30" s="17" t="str">
        <f t="shared" si="4"/>
        <v>07</v>
      </c>
      <c r="J30" s="18" t="str">
        <f t="shared" si="5"/>
        <v>CA</v>
      </c>
      <c r="K30" s="19" t="str">
        <f t="shared" si="3"/>
        <v>MAR</v>
      </c>
    </row>
    <row r="31" ht="15.75" customHeight="1" spans="1:13">
      <c r="A31" s="14" t="s">
        <v>110</v>
      </c>
      <c r="B31" s="15" t="s">
        <v>111</v>
      </c>
      <c r="C31" s="15" t="s">
        <v>112</v>
      </c>
      <c r="D31" s="15">
        <v>40</v>
      </c>
      <c r="E31" s="15">
        <v>10</v>
      </c>
      <c r="F31" s="15" t="s">
        <v>40</v>
      </c>
      <c r="G31" s="16" t="str">
        <f t="shared" si="0"/>
        <v>Standard Price</v>
      </c>
      <c r="I31" s="17" t="str">
        <f t="shared" si="4"/>
        <v>13</v>
      </c>
      <c r="J31" s="18" t="str">
        <f t="shared" si="5"/>
        <v>CA</v>
      </c>
      <c r="K31" s="19" t="str">
        <f t="shared" si="3"/>
        <v>APR</v>
      </c>
    </row>
    <row r="32" ht="15.75" customHeight="1" spans="1:13">
      <c r="A32" s="20" t="s">
        <v>113</v>
      </c>
      <c r="B32" s="21" t="s">
        <v>99</v>
      </c>
      <c r="C32" s="21" t="s">
        <v>114</v>
      </c>
      <c r="D32" s="21">
        <v>130</v>
      </c>
      <c r="E32" s="21">
        <v>5</v>
      </c>
      <c r="F32" s="21" t="s">
        <v>30</v>
      </c>
      <c r="G32" s="16" t="str">
        <f t="shared" si="0"/>
        <v>Standard Price</v>
      </c>
      <c r="I32" s="17" t="str">
        <f t="shared" si="4"/>
        <v>24</v>
      </c>
      <c r="J32" s="18" t="str">
        <f t="shared" si="5"/>
        <v>CA</v>
      </c>
      <c r="K32" s="19" t="str">
        <f t="shared" si="3"/>
        <v>MAY</v>
      </c>
    </row>
    <row r="33" ht="15.75" customHeight="1" spans="1:13">
      <c r="A33" s="14" t="s">
        <v>115</v>
      </c>
      <c r="B33" s="15" t="s">
        <v>116</v>
      </c>
      <c r="C33" s="15" t="s">
        <v>117</v>
      </c>
      <c r="D33" s="15">
        <v>50</v>
      </c>
      <c r="E33" s="15">
        <v>50</v>
      </c>
      <c r="F33" s="15" t="s">
        <v>35</v>
      </c>
      <c r="G33" s="16" t="str">
        <f t="shared" si="0"/>
        <v>Standard Price</v>
      </c>
      <c r="I33" s="17" t="str">
        <f t="shared" si="4"/>
        <v>02</v>
      </c>
      <c r="J33" s="18" t="str">
        <f t="shared" ref="J33:J40" si="6">RIGHT(A33,2)</f>
        <v>CA</v>
      </c>
      <c r="K33" s="19" t="str">
        <f t="shared" si="3"/>
        <v>DEC</v>
      </c>
    </row>
    <row r="34" ht="15.75" customHeight="1" spans="1:13">
      <c r="A34" s="20" t="s">
        <v>67</v>
      </c>
      <c r="B34" s="21" t="s">
        <v>28</v>
      </c>
      <c r="C34" s="21" t="s">
        <v>68</v>
      </c>
      <c r="D34" s="21">
        <v>950</v>
      </c>
      <c r="E34" s="21">
        <v>25</v>
      </c>
      <c r="F34" s="21" t="s">
        <v>30</v>
      </c>
      <c r="G34" s="16" t="str">
        <f t="shared" si="0"/>
        <v>High Price</v>
      </c>
      <c r="I34" s="17" t="str">
        <f>LEFT(A34,2)</f>
        <v>17</v>
      </c>
      <c r="J34" s="18" t="str">
        <f t="shared" si="6"/>
        <v>IN</v>
      </c>
      <c r="K34" s="19" t="str">
        <f t="shared" si="3"/>
        <v>JUN</v>
      </c>
    </row>
    <row r="35" ht="15.75" customHeight="1" spans="1:13">
      <c r="A35" s="14" t="s">
        <v>118</v>
      </c>
      <c r="B35" s="15" t="s">
        <v>119</v>
      </c>
      <c r="C35" s="15" t="s">
        <v>120</v>
      </c>
      <c r="D35" s="15">
        <v>100</v>
      </c>
      <c r="E35" s="15">
        <v>20</v>
      </c>
      <c r="F35" s="15" t="s">
        <v>81</v>
      </c>
      <c r="G35" s="16" t="str">
        <f t="shared" si="0"/>
        <v>Standard Price</v>
      </c>
      <c r="I35" s="23" t="str">
        <f>LEFT(A35,2)</f>
        <v>09</v>
      </c>
      <c r="J35" s="24" t="str">
        <f t="shared" si="6"/>
        <v>FR</v>
      </c>
      <c r="K35" s="25" t="str">
        <f>MID(A35,4,3)</f>
        <v>JUL</v>
      </c>
    </row>
    <row r="36" ht="15.75" customHeight="1" spans="1:13">
      <c r="A36" s="26"/>
      <c r="B36" s="22"/>
      <c r="C36" s="22"/>
      <c r="D36" s="22"/>
      <c r="E36" s="22"/>
      <c r="F36" s="22"/>
      <c r="G36" s="16"/>
      <c r="I36" s="18"/>
      <c r="J36" s="18" t="str">
        <f t="shared" si="6"/>
        <v/>
      </c>
      <c r="K36" s="18"/>
    </row>
    <row r="37" ht="15.75" customHeight="1" spans="1:13">
      <c r="A37" s="26"/>
      <c r="B37" s="22"/>
      <c r="C37" s="22"/>
      <c r="D37" s="22"/>
      <c r="E37" s="22"/>
      <c r="F37" s="22"/>
      <c r="G37" s="16"/>
      <c r="J37" t="str">
        <f t="shared" si="6"/>
        <v/>
      </c>
    </row>
    <row r="38" ht="22" customHeight="1" spans="1:13">
      <c r="A38" s="26"/>
      <c r="B38" s="22"/>
      <c r="C38" s="22"/>
      <c r="D38" s="22"/>
      <c r="E38" s="22"/>
      <c r="F38" s="22"/>
      <c r="G38" s="16"/>
      <c r="J38" t="str">
        <f t="shared" si="6"/>
        <v/>
      </c>
    </row>
    <row r="39" ht="27" customHeight="1" spans="1:13">
      <c r="A39" s="26"/>
      <c r="B39" s="22"/>
      <c r="C39" s="22"/>
      <c r="D39" s="22"/>
      <c r="E39" s="22"/>
      <c r="F39" s="22"/>
      <c r="G39" s="16"/>
      <c r="H39" s="27"/>
      <c r="J39" t="str">
        <f t="shared" si="6"/>
        <v/>
      </c>
    </row>
    <row r="40" ht="15.75" customHeight="1" spans="1:13">
      <c r="A40" s="26"/>
      <c r="B40" s="22"/>
      <c r="C40" s="22"/>
      <c r="D40" s="22"/>
      <c r="E40" s="22"/>
      <c r="F40" s="22"/>
      <c r="G40" s="16"/>
      <c r="J40" t="str">
        <f t="shared" si="6"/>
        <v/>
      </c>
    </row>
    <row r="41" ht="15.75" customHeight="1" spans="1:13">
      <c r="A41" s="26"/>
      <c r="B41" s="22"/>
      <c r="C41" s="22"/>
      <c r="D41" s="22"/>
      <c r="E41" s="22"/>
      <c r="F41" s="22" t="s">
        <v>121</v>
      </c>
      <c r="G41" s="16"/>
      <c r="J41" s="28"/>
      <c r="M41" s="29"/>
    </row>
    <row r="42" ht="15.75" customHeight="1" spans="1:13">
      <c r="A42" s="26"/>
      <c r="B42" s="22"/>
      <c r="C42" s="22"/>
      <c r="D42" s="22"/>
      <c r="E42" s="22"/>
      <c r="F42" s="22"/>
      <c r="G42" s="16"/>
    </row>
    <row r="43" ht="15.75" customHeight="1" spans="1:13">
      <c r="A43" s="30"/>
      <c r="B43" s="31"/>
      <c r="C43" s="31"/>
      <c r="D43" s="31"/>
      <c r="E43" s="31"/>
      <c r="F43" s="31"/>
      <c r="G43" s="32"/>
    </row>
    <row r="44" ht="15.75" customHeight="1" spans="1:13">
      <c r="G44" s="33"/>
    </row>
    <row r="45" ht="15.75" customHeight="1" spans="1:13">
      <c r="G45" s="33"/>
    </row>
    <row r="46" ht="15.75" customHeight="1" spans="1:13">
      <c r="G46" s="33"/>
    </row>
    <row r="47" ht="15.75" customHeight="1" spans="1:13">
      <c r="G47" s="33"/>
    </row>
    <row r="48" ht="15.75" customHeight="1" spans="1:13">
      <c r="G48" s="33"/>
    </row>
    <row r="49" ht="15.75" customHeight="1" spans="7:7">
      <c r="G49" s="33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2026-08-17T15:59:00Z</dcterms:created>
  <dcterms:modified xsi:type="dcterms:W3CDTF">2026-08-19T05:46:04Z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4D0C645B31D848FC861610FDC3720DD1_13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