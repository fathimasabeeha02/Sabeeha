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<sst xmlns="http://schemas.openxmlformats.org/spreadsheetml/2006/main" count="186" uniqueCount="133">
  <si>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</si>
  <si>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</si>
  <si>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</si>
  <si>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</si>
  <si>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</si>
  <si>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</si>
  <si>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</si>
  <si>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</si>
  <si>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</si>
  <si>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</si>
  <si>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</si>
  <si>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</si>
  <si>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</si>
  <si>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</si>
  <si>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</si>
  <si>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</si>
  <si>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</si>
  <si>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</si>
  <si>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</si>
  <si>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</si>
  <si>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</si>
  <si>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</si>
  <si>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</si>
  <si>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</si>
  <si>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</si>
  <si>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PRICE</t>
  </si>
  <si>
    <t>CATEGORY</t>
  </si>
  <si>
    <t>Country Code</t>
  </si>
  <si>
    <t xml:space="preserve">Manufacturing Date </t>
  </si>
  <si>
    <t>Product Band</t>
  </si>
  <si>
    <t>MANUFACTERING DATE</t>
  </si>
  <si>
    <t>28-JAN-US</t>
  </si>
  <si>
    <t>Laptop</t>
  </si>
  <si>
    <t>Dell</t>
  </si>
  <si>
    <t>Electronics</t>
  </si>
  <si>
    <t>US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</si>
  <si>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</si>
  <si>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</si>
  <si>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</si>
  <si>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</si>
  <si>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</si>
  <si>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</si>
  <si>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</si>
  <si>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</si>
  <si>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</si>
  <si>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</si>
  <si>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</si>
  <si>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</si>
  <si>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</si>
  <si>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</si>
  <si>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0utdoor</t>
  </si>
  <si>
    <t>07-JUN-UK</t>
  </si>
  <si>
    <t>Headphones</t>
  </si>
  <si>
    <t>Sony</t>
  </si>
  <si>
    <t>UK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</si>
  <si>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</si>
  <si>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</si>
  <si>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</si>
  <si>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</si>
  <si>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</si>
  <si>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</si>
  <si>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</si>
  <si>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</si>
  <si>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</si>
  <si>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</si>
  <si>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</si>
  <si>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</si>
  <si>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</si>
  <si>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</si>
  <si>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</si>
  <si>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IN</t>
  </si>
  <si>
    <t>25-NOV-AU</t>
  </si>
  <si>
    <t>fashion</t>
  </si>
  <si>
    <t>AU</t>
  </si>
  <si>
    <t>08-DEC-DE</t>
  </si>
  <si>
    <t>Nespresso</t>
  </si>
  <si>
    <t>kitchen</t>
  </si>
  <si>
    <t>DE</t>
  </si>
  <si>
    <t>18-FEB-CA</t>
  </si>
  <si>
    <t>Smartwatch</t>
  </si>
  <si>
    <t>Fitbit</t>
  </si>
  <si>
    <t>CA</t>
  </si>
  <si>
    <t>16-APR-ES</t>
  </si>
  <si>
    <t>Bose</t>
  </si>
  <si>
    <t>ES</t>
  </si>
  <si>
    <t>21-AUG-CA</t>
  </si>
  <si>
    <t>Laptop Bag</t>
  </si>
  <si>
    <t>Samsonite</t>
  </si>
  <si>
    <t>Accessories</t>
  </si>
  <si>
    <t>20-AUG-CN</t>
  </si>
  <si>
    <t>Huawei</t>
  </si>
  <si>
    <t>CN</t>
  </si>
  <si>
    <t>27-JAN-IT</t>
  </si>
  <si>
    <t>Asus</t>
  </si>
  <si>
    <t>IT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</si>
  <si>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</si>
  <si>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</si>
  <si>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</si>
  <si>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</si>
  <si>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</si>
  <si>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</si>
  <si>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</si>
  <si>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</si>
  <si>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</si>
  <si>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RU</t>
  </si>
  <si>
    <t>09-JAN-CA</t>
  </si>
  <si>
    <t>Microwave</t>
  </si>
  <si>
    <t>Panasonic</t>
  </si>
  <si>
    <t>19-JUL-BR</t>
  </si>
  <si>
    <t>Fitness Tracker</t>
  </si>
  <si>
    <t>Xiaomi</t>
  </si>
  <si>
    <t>BR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</si>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</sst>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&quot;₹&quot;#,##0.00_);[Red]\(&quot;₹&quot;#,##0.00\)"/>
    <numFmt numFmtId="182" formatCode="dd/mm/yyyy"/>
  </numFmts>
  <fonts count="30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1"/>
      <color rgb="FF00B0F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 Black"/>
      <charset val="134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1">
    <xf numFmtId="0" fontId="0" fillId="0" borderId="0" xfId="0" applyFont="1" applyAlignment="1"/>
    <xf numFmtId="180" fontId="0" fillId="0" borderId="0" xfId="0" applyNumberFormat="1" applyFont="1" applyAlignment="1"/>
    <xf numFmtId="0" fontId="1" fillId="2" borderId="0" xfId="0" applyFont="1" applyFill="1" applyAlignment="1">
      <alignment horizontal="center"/>
    </xf>
    <xf numFmtId="181" fontId="2" fillId="0" borderId="0" xfId="0" applyNumberFormat="1" applyFont="1" applyAlignment="1"/>
    <xf numFmtId="0" fontId="2" fillId="0" borderId="0" xfId="0" applyFont="1" applyAlignment="1"/>
    <xf numFmtId="180" fontId="2" fillId="0" borderId="0" xfId="0" applyNumberFormat="1" applyFont="1" applyAlignment="1"/>
    <xf numFmtId="0" fontId="3" fillId="0" borderId="0" xfId="0" applyFont="1"/>
    <xf numFmtId="181" fontId="0" fillId="0" borderId="0" xfId="0" applyNumberFormat="1" applyFont="1" applyAlignment="1"/>
    <xf numFmtId="180" fontId="0" fillId="0" borderId="0" xfId="1" applyNumberFormat="1" applyFont="1" applyAlignment="1"/>
    <xf numFmtId="182" fontId="0" fillId="0" borderId="0" xfId="0" applyNumberFormat="1" applyFont="1" applyAlignment="1"/>
    <xf numFmtId="0" fontId="3" fillId="3" borderId="0" xfId="0" applyFont="1" applyFill="1"/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9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numFmt numFmtId="0" formatCode="General"/>
      <fill>
        <patternFill patternType="solid">
          <bgColor theme="7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0"/>
  <sheetViews>
    <sheetView showGridLines="0" topLeftCell="A10" workbookViewId="0">
      <selection activeCell="F31" sqref="F31"/>
    </sheetView>
  </sheetViews>
  <sheetFormatPr defaultColWidth="12.6296296296296" defaultRowHeight="15" customHeight="1"/>
  <cols>
    <col min="1" max="1" width="12.6296296296296" customWidth="1"/>
    <col min="2" max="2" width="7.5" customWidth="1"/>
    <col min="3" max="6" width="12.6296296296296" customWidth="1"/>
  </cols>
  <sheetData>
    <row r="1" ht="15.75" customHeight="1" spans="1:11">
      <c r="A1" s="14" t="s">
        <v>0</v>
      </c>
    </row>
    <row r="2" ht="15.75" customHeight="1"/>
    <row r="3" ht="15.75" customHeight="1" spans="1:11">
      <c r="B3" s="15" t="s">
        <v>1</v>
      </c>
    </row>
    <row r="4" ht="15.75" customHeight="1" spans="1:11">
      <c r="C4" s="16" t="s">
        <v>2</v>
      </c>
    </row>
    <row r="5" ht="15.75" customHeight="1" spans="1:11">
      <c r="B5" s="17"/>
      <c r="C5" s="16" t="s">
        <v>3</v>
      </c>
    </row>
    <row r="6" ht="15.75" customHeight="1" spans="1:11">
      <c r="B6" s="17"/>
    </row>
    <row r="7" ht="15.75" customHeight="1" spans="1:11">
      <c r="B7" s="15" t="s">
        <v>4</v>
      </c>
    </row>
    <row r="8" ht="15.75" customHeight="1" spans="1:11">
      <c r="C8" s="16" t="s">
        <v>5</v>
      </c>
    </row>
    <row r="9" ht="15.75" customHeight="1" spans="1:11">
      <c r="C9" s="16" t="s">
        <v>6</v>
      </c>
    </row>
    <row r="10" ht="15.75" customHeight="1" spans="1:11">
      <c r="C10" s="16" t="s">
        <v>7</v>
      </c>
    </row>
    <row r="11" ht="15.75" customHeight="1" spans="1:11">
      <c r="B11" s="17"/>
    </row>
    <row r="12" ht="15.75" customHeight="1" spans="1:11">
      <c r="B12" s="15" t="s">
        <v>8</v>
      </c>
    </row>
    <row r="13" ht="15.75" customHeight="1" spans="1:11">
      <c r="B13" s="15"/>
      <c r="C13" s="16" t="s">
        <v>9</v>
      </c>
    </row>
    <row r="14" ht="15.75" customHeight="1"/>
    <row r="15" ht="15.75" customHeight="1" spans="1:11">
      <c r="B15" s="18" t="s">
        <v>10</v>
      </c>
      <c r="C15" s="11"/>
      <c r="D15" s="11"/>
      <c r="E15" s="11"/>
      <c r="F15" s="11"/>
      <c r="G15" s="11"/>
      <c r="H15" s="11"/>
      <c r="I15" s="11"/>
      <c r="J15" s="11"/>
      <c r="K15" s="11"/>
    </row>
    <row r="16" ht="15.75" customHeight="1" spans="1:11">
      <c r="B16" s="11"/>
      <c r="C16" s="19" t="s">
        <v>11</v>
      </c>
      <c r="D16" s="11"/>
      <c r="E16" s="11"/>
      <c r="F16" s="11"/>
      <c r="G16" s="11"/>
      <c r="H16" s="11"/>
      <c r="I16" s="11"/>
      <c r="J16" s="11"/>
      <c r="K16" s="11"/>
    </row>
    <row r="17" ht="15.75" customHeight="1" spans="2:11">
      <c r="B17" s="11"/>
      <c r="C17" s="19" t="s">
        <v>12</v>
      </c>
      <c r="D17" s="11"/>
      <c r="E17" s="11"/>
      <c r="F17" s="11"/>
      <c r="G17" s="11"/>
      <c r="H17" s="11"/>
      <c r="I17" s="11"/>
      <c r="J17" s="11"/>
      <c r="K17" s="11"/>
    </row>
    <row r="18" ht="15.75" customHeight="1" spans="2:11">
      <c r="C18" s="11"/>
      <c r="D18" s="11"/>
      <c r="E18" s="11"/>
      <c r="F18" s="11"/>
      <c r="G18" s="11"/>
      <c r="H18" s="11"/>
      <c r="I18" s="11"/>
      <c r="J18" s="11"/>
      <c r="K18" s="11"/>
    </row>
    <row r="19" ht="15.75" customHeight="1" spans="2:11">
      <c r="B19" s="18" t="s">
        <v>13</v>
      </c>
      <c r="C19" s="11"/>
      <c r="D19" s="11"/>
      <c r="E19" s="11"/>
      <c r="F19" s="11"/>
      <c r="G19" s="11"/>
      <c r="H19" s="11"/>
      <c r="I19" s="11"/>
      <c r="J19" s="11"/>
      <c r="K19" s="11"/>
    </row>
    <row r="20" ht="15.75" customHeight="1" spans="2:11">
      <c r="B20" s="11"/>
      <c r="C20" s="19" t="s">
        <v>14</v>
      </c>
      <c r="D20" s="11"/>
      <c r="E20" s="11"/>
      <c r="F20" s="11"/>
      <c r="G20" s="11"/>
      <c r="H20" s="11"/>
      <c r="I20" s="11"/>
      <c r="J20" s="11"/>
      <c r="K20" s="11"/>
    </row>
    <row r="21" ht="15.75" customHeight="1" spans="2:11">
      <c r="B21" s="11"/>
      <c r="C21" s="19" t="s">
        <v>15</v>
      </c>
      <c r="D21" s="11"/>
      <c r="E21" s="11"/>
      <c r="F21" s="11"/>
      <c r="G21" s="11"/>
      <c r="H21" s="11"/>
      <c r="I21" s="11"/>
      <c r="J21" s="11"/>
      <c r="K21" s="11"/>
    </row>
    <row r="22" ht="15.75" customHeight="1" spans="2:1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 spans="2:11">
      <c r="B23" s="18" t="s">
        <v>16</v>
      </c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 spans="2:11">
      <c r="B24" s="11"/>
      <c r="C24" s="19" t="s">
        <v>17</v>
      </c>
      <c r="D24" s="11"/>
      <c r="E24" s="11"/>
      <c r="F24" s="11"/>
      <c r="G24" s="11"/>
      <c r="H24" s="11"/>
      <c r="I24" s="11"/>
      <c r="J24" s="11"/>
      <c r="K24" s="11"/>
    </row>
    <row r="25" ht="15.75" customHeight="1" spans="2:11">
      <c r="B25" s="11"/>
      <c r="C25" s="19" t="s">
        <v>18</v>
      </c>
      <c r="D25" s="11"/>
      <c r="E25" s="11"/>
      <c r="F25" s="11"/>
      <c r="G25" s="11"/>
      <c r="H25" s="11"/>
      <c r="I25" s="11"/>
      <c r="J25" s="11"/>
      <c r="K25" s="11"/>
    </row>
    <row r="26" ht="15.75" customHeight="1" spans="2:11">
      <c r="B26" s="11"/>
      <c r="C26" s="19"/>
      <c r="D26" s="11"/>
      <c r="E26" s="11"/>
      <c r="F26" s="11"/>
      <c r="G26" s="11"/>
      <c r="H26" s="11"/>
      <c r="I26" s="11"/>
      <c r="J26" s="11"/>
      <c r="K26" s="11"/>
    </row>
    <row r="27" ht="15.75" customHeight="1" spans="2:11">
      <c r="B27" s="11"/>
      <c r="C27" s="11"/>
      <c r="D27" s="20"/>
      <c r="E27" s="11"/>
      <c r="F27" s="11"/>
      <c r="G27" s="11"/>
      <c r="H27" s="11"/>
      <c r="I27" s="11"/>
      <c r="J27" s="11"/>
      <c r="K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0"/>
  <sheetViews>
    <sheetView tabSelected="1" workbookViewId="0">
      <selection activeCell="N34" sqref="N34:N42"/>
    </sheetView>
  </sheetViews>
  <sheetFormatPr defaultColWidth="12.6296296296296" defaultRowHeight="15" customHeight="1"/>
  <cols>
    <col min="1" max="6" width="12.6296296296296" customWidth="1"/>
    <col min="9" max="9" width="12.8888888888889"/>
    <col min="12" max="12" width="19.8888888888889" style="1" customWidth="1"/>
    <col min="13" max="13" width="22.3333333333333" customWidth="1"/>
    <col min="14" max="14" width="29"/>
  </cols>
  <sheetData>
    <row r="1" ht="15.75" customHeight="1" spans="1:14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I1" s="3" t="s">
        <v>25</v>
      </c>
      <c r="J1" s="4" t="s">
        <v>26</v>
      </c>
      <c r="K1" s="4" t="s">
        <v>27</v>
      </c>
      <c r="L1" s="5" t="s">
        <v>28</v>
      </c>
      <c r="M1" s="4" t="s">
        <v>29</v>
      </c>
      <c r="N1" t="s">
        <v>30</v>
      </c>
    </row>
    <row r="2" ht="15.75" customHeight="1" spans="1:14">
      <c r="A2" s="6" t="s">
        <v>31</v>
      </c>
      <c r="B2" s="6" t="s">
        <v>32</v>
      </c>
      <c r="C2" s="6" t="s">
        <v>33</v>
      </c>
      <c r="D2" s="6">
        <v>1000</v>
      </c>
      <c r="E2" s="6">
        <v>30</v>
      </c>
      <c r="F2" s="6" t="s">
        <v>34</v>
      </c>
      <c r="I2" s="7">
        <f>IF(ISBLANK(D2),AVERAGE(D2:D35),D2)</f>
        <v>1000</v>
      </c>
      <c r="J2" t="str">
        <f>IF(ISBLANK(F2),"Electronicscscs",F2)</f>
        <v>Electronics</v>
      </c>
      <c r="K2" t="s">
        <v>35</v>
      </c>
      <c r="L2" s="8" t="str">
        <f>LEFT(A2,LEN(A2)-3)</f>
        <v>28-JAN</v>
      </c>
      <c r="M2" t="str">
        <f>CONCATENATE(B2," ",C2)</f>
        <v>Laptop Dell</v>
      </c>
      <c r="N2" s="9">
        <f>DATE(2026,MONTH(L2),DAY(L2))</f>
        <v>46050</v>
      </c>
    </row>
    <row r="3" ht="15.75" customHeight="1" spans="1:14">
      <c r="A3" s="10" t="s">
        <v>36</v>
      </c>
      <c r="B3" s="10" t="s">
        <v>37</v>
      </c>
      <c r="C3" s="10" t="s">
        <v>38</v>
      </c>
      <c r="D3" s="10">
        <v>80</v>
      </c>
      <c r="E3" s="10">
        <v>15</v>
      </c>
      <c r="F3" s="10" t="s">
        <v>39</v>
      </c>
      <c r="I3" s="7">
        <f t="shared" ref="I3:I8" si="0">IF(ISBLANK(D3),AVERAGE(D3:D36),D3)</f>
        <v>80</v>
      </c>
      <c r="J3" t="str">
        <f>IF(ISBLANK(F3),"Electronicscscs",F3)</f>
        <v>Fashion</v>
      </c>
      <c r="K3" s="11" t="s">
        <v>35</v>
      </c>
      <c r="L3" s="1" t="str">
        <f>LEFT(A3,LEN(A3)-3)</f>
        <v>15-FEB</v>
      </c>
      <c r="M3" t="str">
        <f t="shared" ref="M3:M32" si="1">CONCATENATE(B3," ",C3)</f>
        <v>Sneakers Nike</v>
      </c>
      <c r="N3" s="9">
        <f t="shared" ref="N3:N42" si="2">DATE(2026,MONTH(L3),DAY(L3))</f>
        <v>46068</v>
      </c>
    </row>
    <row r="4" ht="15.75" customHeight="1" spans="1:14">
      <c r="A4" s="6" t="s">
        <v>40</v>
      </c>
      <c r="B4" s="6" t="s">
        <v>41</v>
      </c>
      <c r="C4" s="6" t="s">
        <v>42</v>
      </c>
      <c r="D4" s="6">
        <v>130</v>
      </c>
      <c r="E4" s="6">
        <v>40</v>
      </c>
      <c r="F4" s="6" t="s">
        <v>43</v>
      </c>
      <c r="I4" s="7">
        <f t="shared" si="0"/>
        <v>130</v>
      </c>
      <c r="J4" t="str">
        <f>IF(ISBLANK(F4),"Electronicscscs",F4)</f>
        <v>Kitchen</v>
      </c>
      <c r="K4" s="11" t="s">
        <v>35</v>
      </c>
      <c r="L4" s="1" t="str">
        <f t="shared" ref="L3:L35" si="3">LEFT(A4,LEN(A4)-3)</f>
        <v>03-MAR</v>
      </c>
      <c r="M4" t="str">
        <f t="shared" si="1"/>
        <v>Coffee Maker Keurig</v>
      </c>
      <c r="N4" s="9">
        <f t="shared" si="2"/>
        <v>46084</v>
      </c>
    </row>
    <row r="5" ht="15.75" customHeight="1" spans="1:14">
      <c r="A5" s="10" t="s">
        <v>44</v>
      </c>
      <c r="B5" s="10" t="s">
        <v>45</v>
      </c>
      <c r="C5" s="10" t="s">
        <v>46</v>
      </c>
      <c r="D5" s="10">
        <v>900</v>
      </c>
      <c r="E5" s="10">
        <v>25</v>
      </c>
      <c r="F5" s="10" t="s">
        <v>34</v>
      </c>
      <c r="I5" s="7">
        <f t="shared" si="0"/>
        <v>900</v>
      </c>
      <c r="J5" t="str">
        <f>IF(ISBLANK(F5),"Electronicscscs",F5)</f>
        <v>Electronics</v>
      </c>
      <c r="K5" s="11" t="s">
        <v>35</v>
      </c>
      <c r="L5" s="1" t="str">
        <f t="shared" si="3"/>
        <v>11-APR</v>
      </c>
      <c r="M5" t="str">
        <f t="shared" si="1"/>
        <v>Smartphone Samsung</v>
      </c>
      <c r="N5" s="9">
        <f t="shared" si="2"/>
        <v>46123</v>
      </c>
    </row>
    <row r="6" ht="15.75" customHeight="1" spans="1:14">
      <c r="A6" s="6" t="s">
        <v>47</v>
      </c>
      <c r="B6" s="6" t="s">
        <v>48</v>
      </c>
      <c r="C6" s="6" t="s">
        <v>49</v>
      </c>
      <c r="D6" s="6">
        <v>70</v>
      </c>
      <c r="E6" s="6">
        <v>20</v>
      </c>
      <c r="F6" s="6"/>
      <c r="I6" s="7">
        <f t="shared" si="0"/>
        <v>70</v>
      </c>
      <c r="J6" s="12" t="s">
        <v>50</v>
      </c>
      <c r="K6" t="s">
        <v>35</v>
      </c>
      <c r="L6" s="1" t="str">
        <f t="shared" si="3"/>
        <v>22-MAY</v>
      </c>
      <c r="M6" t="str">
        <f t="shared" si="1"/>
        <v>Backpack North Face</v>
      </c>
      <c r="N6" s="9">
        <f t="shared" si="2"/>
        <v>46164</v>
      </c>
    </row>
    <row r="7" ht="15.75" customHeight="1" spans="1:14">
      <c r="A7" s="10" t="s">
        <v>51</v>
      </c>
      <c r="B7" s="10" t="s">
        <v>52</v>
      </c>
      <c r="C7" s="10" t="s">
        <v>53</v>
      </c>
      <c r="D7" s="10"/>
      <c r="E7" s="10">
        <v>45</v>
      </c>
      <c r="F7" s="10" t="s">
        <v>34</v>
      </c>
      <c r="I7" s="7">
        <f t="shared" si="0"/>
        <v>267.826086956522</v>
      </c>
      <c r="J7" t="str">
        <f t="shared" ref="J7:J12" si="4">IF(ISBLANK(F7),"Electronicscscs",F7)</f>
        <v>Electronics</v>
      </c>
      <c r="K7" t="s">
        <v>54</v>
      </c>
      <c r="L7" s="1" t="str">
        <f t="shared" si="3"/>
        <v>07-JUN</v>
      </c>
      <c r="M7" t="str">
        <f t="shared" si="1"/>
        <v>Headphones Sony</v>
      </c>
      <c r="N7" s="9">
        <f t="shared" si="2"/>
        <v>46180</v>
      </c>
    </row>
    <row r="8" ht="15.75" customHeight="1" spans="1:14">
      <c r="A8" s="6" t="s">
        <v>55</v>
      </c>
      <c r="B8" s="6" t="s">
        <v>56</v>
      </c>
      <c r="C8" s="6" t="s">
        <v>57</v>
      </c>
      <c r="D8" s="6">
        <v>30</v>
      </c>
      <c r="E8" s="6">
        <v>5</v>
      </c>
      <c r="F8" s="6" t="s">
        <v>39</v>
      </c>
      <c r="I8" s="7">
        <f t="shared" si="0"/>
        <v>30</v>
      </c>
      <c r="J8" t="str">
        <f t="shared" si="4"/>
        <v>Fashion</v>
      </c>
      <c r="K8" t="s">
        <v>54</v>
      </c>
      <c r="L8" s="1" t="str">
        <f t="shared" si="3"/>
        <v>19-JUL</v>
      </c>
      <c r="M8" t="str">
        <f t="shared" si="1"/>
        <v>T-shirt Adidas</v>
      </c>
      <c r="N8" s="9">
        <f t="shared" si="2"/>
        <v>46222</v>
      </c>
    </row>
    <row r="9" ht="15.75" customHeight="1" spans="1:14">
      <c r="A9" s="10" t="s">
        <v>58</v>
      </c>
      <c r="B9" s="10" t="s">
        <v>59</v>
      </c>
      <c r="C9" s="10" t="s">
        <v>60</v>
      </c>
      <c r="D9" s="10">
        <v>90</v>
      </c>
      <c r="E9" s="10">
        <v>35</v>
      </c>
      <c r="F9" s="10" t="s">
        <v>43</v>
      </c>
      <c r="I9" s="7">
        <f t="shared" ref="I9:I22" si="5">IF(ISBLANK(D9),AVERAGE(D9:D42),D9)</f>
        <v>90</v>
      </c>
      <c r="J9" t="str">
        <f t="shared" si="4"/>
        <v>Kitchen</v>
      </c>
      <c r="K9" t="s">
        <v>54</v>
      </c>
      <c r="L9" s="1" t="str">
        <f t="shared" si="3"/>
        <v>23-AUG</v>
      </c>
      <c r="M9" t="str">
        <f t="shared" si="1"/>
        <v>Blender Ninja</v>
      </c>
      <c r="N9" s="9">
        <f t="shared" si="2"/>
        <v>46257</v>
      </c>
    </row>
    <row r="10" ht="15.75" customHeight="1" spans="1:14">
      <c r="A10" s="6" t="s">
        <v>61</v>
      </c>
      <c r="B10" s="6" t="s">
        <v>62</v>
      </c>
      <c r="C10" s="6" t="s">
        <v>63</v>
      </c>
      <c r="D10" s="6">
        <v>500</v>
      </c>
      <c r="E10" s="6">
        <v>50</v>
      </c>
      <c r="F10" s="6" t="s">
        <v>34</v>
      </c>
      <c r="I10" s="7">
        <f t="shared" si="5"/>
        <v>500</v>
      </c>
      <c r="J10" t="str">
        <f t="shared" si="4"/>
        <v>Electronics</v>
      </c>
      <c r="K10" t="s">
        <v>54</v>
      </c>
      <c r="L10" s="1" t="str">
        <f t="shared" si="3"/>
        <v>05-SEP</v>
      </c>
      <c r="M10" t="str">
        <f t="shared" si="1"/>
        <v>Tablet Apple</v>
      </c>
      <c r="N10" s="9">
        <f t="shared" si="2"/>
        <v>46270</v>
      </c>
    </row>
    <row r="11" ht="15.75" customHeight="1" spans="1:14">
      <c r="A11" s="10" t="s">
        <v>64</v>
      </c>
      <c r="B11" s="10" t="s">
        <v>65</v>
      </c>
      <c r="C11" s="10" t="s">
        <v>66</v>
      </c>
      <c r="D11" s="10">
        <v>130</v>
      </c>
      <c r="E11" s="10">
        <v>10</v>
      </c>
      <c r="F11" s="10" t="s">
        <v>67</v>
      </c>
      <c r="I11" s="7">
        <f t="shared" si="5"/>
        <v>130</v>
      </c>
      <c r="J11" t="str">
        <f t="shared" si="4"/>
        <v>Outdoor</v>
      </c>
      <c r="K11" t="s">
        <v>54</v>
      </c>
      <c r="L11" s="1" t="str">
        <f t="shared" si="3"/>
        <v>14-OCT</v>
      </c>
      <c r="M11" t="str">
        <f t="shared" si="1"/>
        <v>Hiking Boots Timberland</v>
      </c>
      <c r="N11" s="9">
        <f t="shared" si="2"/>
        <v>46309</v>
      </c>
    </row>
    <row r="12" ht="15.75" customHeight="1" spans="1:14">
      <c r="A12" s="6" t="s">
        <v>68</v>
      </c>
      <c r="B12" s="6" t="s">
        <v>32</v>
      </c>
      <c r="C12" s="6" t="s">
        <v>69</v>
      </c>
      <c r="D12" s="6">
        <v>950</v>
      </c>
      <c r="E12" s="6">
        <v>25</v>
      </c>
      <c r="F12" s="6" t="s">
        <v>34</v>
      </c>
      <c r="I12" s="7">
        <f t="shared" si="5"/>
        <v>950</v>
      </c>
      <c r="J12" t="str">
        <f t="shared" si="4"/>
        <v>Electronics</v>
      </c>
      <c r="K12" t="s">
        <v>70</v>
      </c>
      <c r="L12" s="1" t="str">
        <f t="shared" si="3"/>
        <v>17-JUN</v>
      </c>
      <c r="M12" t="str">
        <f t="shared" si="1"/>
        <v>Laptop HP</v>
      </c>
      <c r="N12" s="9">
        <f t="shared" si="2"/>
        <v>46190</v>
      </c>
    </row>
    <row r="13" ht="15.75" customHeight="1" spans="1:14">
      <c r="A13" s="10" t="s">
        <v>71</v>
      </c>
      <c r="B13" s="10" t="s">
        <v>37</v>
      </c>
      <c r="C13" s="10" t="s">
        <v>57</v>
      </c>
      <c r="D13" s="10">
        <v>90</v>
      </c>
      <c r="E13" s="10">
        <v>40</v>
      </c>
      <c r="F13" s="10"/>
      <c r="I13" s="7">
        <f t="shared" si="5"/>
        <v>90</v>
      </c>
      <c r="J13" s="12" t="s">
        <v>72</v>
      </c>
      <c r="K13" t="s">
        <v>73</v>
      </c>
      <c r="L13" s="1" t="str">
        <f t="shared" si="3"/>
        <v>25-NOV</v>
      </c>
      <c r="M13" t="str">
        <f t="shared" si="1"/>
        <v>Sneakers Adidas</v>
      </c>
      <c r="N13" s="9">
        <f t="shared" si="2"/>
        <v>46351</v>
      </c>
    </row>
    <row r="14" ht="15.75" customHeight="1" spans="1:14">
      <c r="A14" s="6" t="s">
        <v>74</v>
      </c>
      <c r="B14" s="6" t="s">
        <v>41</v>
      </c>
      <c r="C14" s="6" t="s">
        <v>75</v>
      </c>
      <c r="D14" s="6">
        <v>120</v>
      </c>
      <c r="E14" s="6">
        <v>35</v>
      </c>
      <c r="F14" s="6"/>
      <c r="I14" s="7">
        <f t="shared" si="5"/>
        <v>120</v>
      </c>
      <c r="J14" s="12" t="s">
        <v>76</v>
      </c>
      <c r="K14" t="s">
        <v>77</v>
      </c>
      <c r="L14" s="1" t="str">
        <f t="shared" si="3"/>
        <v>08-DEC</v>
      </c>
      <c r="M14" t="str">
        <f t="shared" si="1"/>
        <v>Coffee Maker Nespresso</v>
      </c>
      <c r="N14" s="9">
        <f t="shared" si="2"/>
        <v>46364</v>
      </c>
    </row>
    <row r="15" ht="15.75" customHeight="1" spans="1:14">
      <c r="A15" s="10" t="s">
        <v>78</v>
      </c>
      <c r="B15" s="10" t="s">
        <v>79</v>
      </c>
      <c r="C15" s="10" t="s">
        <v>80</v>
      </c>
      <c r="D15" s="10">
        <v>150</v>
      </c>
      <c r="E15" s="10">
        <v>15</v>
      </c>
      <c r="F15" s="10" t="s">
        <v>34</v>
      </c>
      <c r="I15" s="7">
        <f t="shared" si="5"/>
        <v>150</v>
      </c>
      <c r="J15" t="str">
        <f t="shared" ref="J15:J23" si="6">IF(ISBLANK(F15),"Electronicscscs",F15)</f>
        <v>Electronics</v>
      </c>
      <c r="K15" t="s">
        <v>81</v>
      </c>
      <c r="L15" s="1" t="str">
        <f t="shared" si="3"/>
        <v>18-FEB</v>
      </c>
      <c r="M15" t="str">
        <f t="shared" si="1"/>
        <v>Smartwatch Fitbit</v>
      </c>
      <c r="N15" s="9">
        <f t="shared" si="2"/>
        <v>46071</v>
      </c>
    </row>
    <row r="16" ht="15.75" customHeight="1" spans="1:14">
      <c r="A16" s="6" t="s">
        <v>82</v>
      </c>
      <c r="B16" s="6" t="s">
        <v>52</v>
      </c>
      <c r="C16" s="6" t="s">
        <v>83</v>
      </c>
      <c r="D16" s="6">
        <v>250</v>
      </c>
      <c r="E16" s="6">
        <v>20</v>
      </c>
      <c r="F16" s="6" t="s">
        <v>34</v>
      </c>
      <c r="I16" s="7">
        <f t="shared" si="5"/>
        <v>250</v>
      </c>
      <c r="J16" t="str">
        <f t="shared" si="6"/>
        <v>Electronics</v>
      </c>
      <c r="K16" t="s">
        <v>84</v>
      </c>
      <c r="L16" s="1" t="str">
        <f t="shared" si="3"/>
        <v>16-APR</v>
      </c>
      <c r="M16" t="str">
        <f t="shared" si="1"/>
        <v>Headphones Bose</v>
      </c>
      <c r="N16" s="9">
        <f t="shared" si="2"/>
        <v>46128</v>
      </c>
    </row>
    <row r="17" ht="15.75" customHeight="1" spans="1:14">
      <c r="A17" s="10" t="s">
        <v>85</v>
      </c>
      <c r="B17" s="10" t="s">
        <v>86</v>
      </c>
      <c r="C17" s="10" t="s">
        <v>87</v>
      </c>
      <c r="D17" s="10">
        <v>50</v>
      </c>
      <c r="E17" s="10">
        <v>35</v>
      </c>
      <c r="F17" s="10" t="s">
        <v>88</v>
      </c>
      <c r="I17" s="7">
        <f t="shared" si="5"/>
        <v>50</v>
      </c>
      <c r="J17" t="str">
        <f t="shared" si="6"/>
        <v>Accessories</v>
      </c>
      <c r="K17" t="s">
        <v>81</v>
      </c>
      <c r="L17" s="1" t="str">
        <f t="shared" si="3"/>
        <v>21-AUG</v>
      </c>
      <c r="M17" t="str">
        <f t="shared" si="1"/>
        <v>Laptop Bag Samsonite</v>
      </c>
      <c r="N17" s="9">
        <f t="shared" si="2"/>
        <v>46255</v>
      </c>
    </row>
    <row r="18" ht="15.75" customHeight="1" spans="1:14">
      <c r="A18" s="6" t="s">
        <v>89</v>
      </c>
      <c r="B18" s="6" t="s">
        <v>79</v>
      </c>
      <c r="C18" s="6" t="s">
        <v>90</v>
      </c>
      <c r="D18" s="6">
        <v>160</v>
      </c>
      <c r="E18" s="6">
        <v>15</v>
      </c>
      <c r="F18" s="6" t="s">
        <v>34</v>
      </c>
      <c r="I18" s="7">
        <f t="shared" si="5"/>
        <v>160</v>
      </c>
      <c r="J18" t="str">
        <f t="shared" si="6"/>
        <v>Electronics</v>
      </c>
      <c r="K18" t="s">
        <v>91</v>
      </c>
      <c r="L18" s="1" t="str">
        <f t="shared" si="3"/>
        <v>20-AUG</v>
      </c>
      <c r="M18" t="str">
        <f t="shared" si="1"/>
        <v>Smartwatch Huawei</v>
      </c>
      <c r="N18" s="9">
        <f t="shared" si="2"/>
        <v>46254</v>
      </c>
    </row>
    <row r="19" ht="15.75" customHeight="1" spans="1:14">
      <c r="A19" s="10" t="s">
        <v>92</v>
      </c>
      <c r="B19" s="10" t="s">
        <v>32</v>
      </c>
      <c r="C19" s="10" t="s">
        <v>93</v>
      </c>
      <c r="D19" s="10">
        <v>980</v>
      </c>
      <c r="E19" s="10">
        <v>10</v>
      </c>
      <c r="F19" s="10" t="s">
        <v>34</v>
      </c>
      <c r="I19" s="7">
        <f t="shared" si="5"/>
        <v>980</v>
      </c>
      <c r="J19" t="str">
        <f t="shared" si="6"/>
        <v>Electronics</v>
      </c>
      <c r="K19" t="s">
        <v>94</v>
      </c>
      <c r="L19" s="1" t="str">
        <f t="shared" si="3"/>
        <v>27-JAN</v>
      </c>
      <c r="M19" t="str">
        <f t="shared" si="1"/>
        <v>Laptop Asus</v>
      </c>
      <c r="N19" s="9">
        <f t="shared" si="2"/>
        <v>46049</v>
      </c>
    </row>
    <row r="20" ht="15.75" customHeight="1" spans="1:14">
      <c r="A20" s="6" t="s">
        <v>95</v>
      </c>
      <c r="B20" s="6" t="s">
        <v>96</v>
      </c>
      <c r="C20" s="6" t="s">
        <v>97</v>
      </c>
      <c r="D20" s="6">
        <v>150</v>
      </c>
      <c r="E20" s="6">
        <v>15</v>
      </c>
      <c r="F20" s="6" t="s">
        <v>39</v>
      </c>
      <c r="I20" s="7">
        <f t="shared" si="5"/>
        <v>150</v>
      </c>
      <c r="J20" t="str">
        <f t="shared" si="6"/>
        <v>Fashion</v>
      </c>
      <c r="K20" t="s">
        <v>54</v>
      </c>
      <c r="L20" s="1" t="str">
        <f t="shared" si="3"/>
        <v>01-MAR</v>
      </c>
      <c r="M20" t="str">
        <f t="shared" si="1"/>
        <v>Sunglasses Oakley</v>
      </c>
      <c r="N20" s="9">
        <f t="shared" si="2"/>
        <v>46082</v>
      </c>
    </row>
    <row r="21" ht="15.75" customHeight="1" spans="1:14">
      <c r="A21" s="10" t="s">
        <v>98</v>
      </c>
      <c r="B21" s="10" t="s">
        <v>99</v>
      </c>
      <c r="C21" s="10" t="s">
        <v>100</v>
      </c>
      <c r="D21" s="10"/>
      <c r="E21" s="10">
        <v>10</v>
      </c>
      <c r="F21" s="10" t="s">
        <v>67</v>
      </c>
      <c r="I21" s="7">
        <f t="shared" si="5"/>
        <v>251</v>
      </c>
      <c r="J21" t="str">
        <f t="shared" si="6"/>
        <v>Outdoor</v>
      </c>
      <c r="K21" t="s">
        <v>35</v>
      </c>
      <c r="L21" s="1" t="str">
        <f t="shared" si="3"/>
        <v>14-AUG</v>
      </c>
      <c r="M21" t="str">
        <f t="shared" si="1"/>
        <v>Camping Tent Coleman</v>
      </c>
      <c r="N21" s="9">
        <f t="shared" si="2"/>
        <v>46248</v>
      </c>
    </row>
    <row r="22" ht="15.75" customHeight="1" spans="1:14">
      <c r="A22" s="6" t="s">
        <v>101</v>
      </c>
      <c r="B22" s="6" t="s">
        <v>102</v>
      </c>
      <c r="C22" s="6" t="s">
        <v>103</v>
      </c>
      <c r="D22" s="6">
        <v>700</v>
      </c>
      <c r="E22" s="6">
        <v>50</v>
      </c>
      <c r="F22" s="6" t="s">
        <v>34</v>
      </c>
      <c r="I22" s="7">
        <f t="shared" si="5"/>
        <v>700</v>
      </c>
      <c r="J22" t="str">
        <f t="shared" si="6"/>
        <v>Electronics</v>
      </c>
      <c r="K22" t="s">
        <v>104</v>
      </c>
      <c r="L22" s="1" t="str">
        <f t="shared" si="3"/>
        <v>14-MAY</v>
      </c>
      <c r="M22" t="str">
        <f t="shared" si="1"/>
        <v>Camera Nikon</v>
      </c>
      <c r="N22" s="9">
        <f t="shared" si="2"/>
        <v>46156</v>
      </c>
    </row>
    <row r="23" ht="15.75" customHeight="1" spans="1:14">
      <c r="A23" s="10" t="s">
        <v>105</v>
      </c>
      <c r="B23" s="10" t="s">
        <v>106</v>
      </c>
      <c r="C23" s="10" t="s">
        <v>107</v>
      </c>
      <c r="D23" s="10">
        <v>80</v>
      </c>
      <c r="E23" s="10">
        <v>20</v>
      </c>
      <c r="F23" s="10" t="s">
        <v>43</v>
      </c>
      <c r="I23" s="7">
        <f t="shared" ref="I23:I35" si="7">IF(ISBLANK(D23),AVERAGE(D23:D56),D23)</f>
        <v>80</v>
      </c>
      <c r="J23" t="str">
        <f t="shared" si="6"/>
        <v>Kitchen</v>
      </c>
      <c r="K23" t="s">
        <v>81</v>
      </c>
      <c r="L23" s="1" t="str">
        <f t="shared" si="3"/>
        <v>09-JAN</v>
      </c>
      <c r="M23" t="str">
        <f t="shared" si="1"/>
        <v>Microwave Panasonic</v>
      </c>
      <c r="N23" s="9">
        <f t="shared" si="2"/>
        <v>46031</v>
      </c>
    </row>
    <row r="24" ht="15.75" customHeight="1" spans="1:14">
      <c r="A24" s="6" t="s">
        <v>108</v>
      </c>
      <c r="B24" s="6" t="s">
        <v>109</v>
      </c>
      <c r="C24" s="6" t="s">
        <v>110</v>
      </c>
      <c r="D24" s="6">
        <v>150</v>
      </c>
      <c r="E24" s="6">
        <v>30</v>
      </c>
      <c r="F24" s="6"/>
      <c r="I24" s="7">
        <f t="shared" si="7"/>
        <v>150</v>
      </c>
      <c r="J24" s="12" t="s">
        <v>34</v>
      </c>
      <c r="K24" t="s">
        <v>111</v>
      </c>
      <c r="L24" s="1" t="str">
        <f t="shared" si="3"/>
        <v>19-JUL</v>
      </c>
      <c r="M24" t="str">
        <f t="shared" si="1"/>
        <v>Fitness Tracker Xiaomi</v>
      </c>
      <c r="N24" s="9">
        <f t="shared" si="2"/>
        <v>46222</v>
      </c>
    </row>
    <row r="25" ht="15.75" customHeight="1" spans="1:14">
      <c r="A25" s="13" t="s">
        <v>112</v>
      </c>
      <c r="B25" s="13" t="s">
        <v>45</v>
      </c>
      <c r="C25" s="13" t="s">
        <v>113</v>
      </c>
      <c r="D25" s="13">
        <v>800</v>
      </c>
      <c r="E25" s="13">
        <v>45</v>
      </c>
      <c r="F25" s="13" t="s">
        <v>34</v>
      </c>
      <c r="I25" s="7">
        <f t="shared" si="7"/>
        <v>800</v>
      </c>
      <c r="J25" t="str">
        <f t="shared" ref="J25:J35" si="8">IF(ISBLANK(F25),"Electronicscscs",F25)</f>
        <v>Electronics</v>
      </c>
      <c r="K25" t="s">
        <v>81</v>
      </c>
      <c r="L25" s="1" t="str">
        <f t="shared" si="3"/>
        <v>29-SEP</v>
      </c>
      <c r="M25" t="str">
        <f t="shared" si="1"/>
        <v>Smartphone Google</v>
      </c>
      <c r="N25" s="9">
        <f t="shared" si="2"/>
        <v>46294</v>
      </c>
    </row>
    <row r="26" ht="15.75" customHeight="1" spans="1:14">
      <c r="A26" s="10" t="s">
        <v>114</v>
      </c>
      <c r="B26" s="10" t="s">
        <v>96</v>
      </c>
      <c r="C26" s="10" t="s">
        <v>115</v>
      </c>
      <c r="D26" s="10"/>
      <c r="E26" s="10">
        <v>25</v>
      </c>
      <c r="F26" s="10" t="s">
        <v>39</v>
      </c>
      <c r="I26" s="7">
        <f t="shared" si="7"/>
        <v>130</v>
      </c>
      <c r="J26" t="str">
        <f t="shared" si="8"/>
        <v>Fashion</v>
      </c>
      <c r="K26" t="s">
        <v>81</v>
      </c>
      <c r="L26" s="1" t="str">
        <f t="shared" si="3"/>
        <v>03-JUN</v>
      </c>
      <c r="M26" t="str">
        <f t="shared" si="1"/>
        <v>Sunglasses Ray-Ban</v>
      </c>
      <c r="N26" s="9">
        <f t="shared" si="2"/>
        <v>46176</v>
      </c>
    </row>
    <row r="27" ht="15.75" customHeight="1" spans="1:14">
      <c r="A27" s="13" t="s">
        <v>116</v>
      </c>
      <c r="B27" s="13" t="s">
        <v>59</v>
      </c>
      <c r="C27" s="13" t="s">
        <v>117</v>
      </c>
      <c r="D27" s="13">
        <v>400</v>
      </c>
      <c r="E27" s="13">
        <v>40</v>
      </c>
      <c r="F27" s="13" t="s">
        <v>43</v>
      </c>
      <c r="I27" s="7">
        <f t="shared" si="7"/>
        <v>400</v>
      </c>
      <c r="J27" t="str">
        <f t="shared" si="8"/>
        <v>Kitchen</v>
      </c>
      <c r="K27" t="s">
        <v>81</v>
      </c>
      <c r="L27" s="1" t="str">
        <f t="shared" si="3"/>
        <v>11-JUL</v>
      </c>
      <c r="M27" t="str">
        <f t="shared" si="1"/>
        <v>Blender Vitamix</v>
      </c>
      <c r="N27" s="9">
        <f t="shared" si="2"/>
        <v>46214</v>
      </c>
    </row>
    <row r="28" ht="15.75" customHeight="1" spans="1:14">
      <c r="A28" s="6" t="s">
        <v>118</v>
      </c>
      <c r="B28" s="6" t="s">
        <v>119</v>
      </c>
      <c r="C28" s="6" t="s">
        <v>120</v>
      </c>
      <c r="D28" s="6">
        <v>60</v>
      </c>
      <c r="E28" s="6">
        <v>30</v>
      </c>
      <c r="F28" s="6" t="s">
        <v>39</v>
      </c>
      <c r="I28" s="7">
        <f t="shared" si="7"/>
        <v>60</v>
      </c>
      <c r="J28" t="str">
        <f t="shared" si="8"/>
        <v>Fashion</v>
      </c>
      <c r="K28" t="s">
        <v>81</v>
      </c>
      <c r="L28" s="1" t="str">
        <f t="shared" si="3"/>
        <v>07-MAR</v>
      </c>
      <c r="M28" t="str">
        <f t="shared" si="1"/>
        <v>Dress Zara</v>
      </c>
      <c r="N28" s="9">
        <f t="shared" si="2"/>
        <v>46088</v>
      </c>
    </row>
    <row r="29" ht="15.75" customHeight="1" spans="1:14">
      <c r="A29" s="10" t="s">
        <v>121</v>
      </c>
      <c r="B29" s="10" t="s">
        <v>122</v>
      </c>
      <c r="C29" s="10" t="s">
        <v>123</v>
      </c>
      <c r="D29" s="10">
        <v>40</v>
      </c>
      <c r="E29" s="10">
        <v>10</v>
      </c>
      <c r="F29" s="10" t="s">
        <v>43</v>
      </c>
      <c r="I29" s="7">
        <f t="shared" si="7"/>
        <v>40</v>
      </c>
      <c r="J29" t="str">
        <f t="shared" si="8"/>
        <v>Kitchen</v>
      </c>
      <c r="K29" t="s">
        <v>81</v>
      </c>
      <c r="L29" s="1" t="str">
        <f t="shared" si="3"/>
        <v>13-APR</v>
      </c>
      <c r="M29" t="str">
        <f t="shared" si="1"/>
        <v>Toaster Hamilton</v>
      </c>
      <c r="N29" s="9">
        <f t="shared" si="2"/>
        <v>46125</v>
      </c>
    </row>
    <row r="30" ht="15.75" customHeight="1" spans="1:14">
      <c r="A30" s="6" t="s">
        <v>124</v>
      </c>
      <c r="B30" s="6" t="s">
        <v>109</v>
      </c>
      <c r="C30" s="6" t="s">
        <v>125</v>
      </c>
      <c r="D30" s="6">
        <v>130</v>
      </c>
      <c r="E30" s="6">
        <v>5</v>
      </c>
      <c r="F30" s="6" t="s">
        <v>34</v>
      </c>
      <c r="I30" s="7">
        <f t="shared" si="7"/>
        <v>130</v>
      </c>
      <c r="J30" t="str">
        <f t="shared" si="8"/>
        <v>Electronics</v>
      </c>
      <c r="K30" t="s">
        <v>81</v>
      </c>
      <c r="L30" s="1" t="str">
        <f t="shared" si="3"/>
        <v>24-MAY</v>
      </c>
      <c r="M30" t="str">
        <f t="shared" si="1"/>
        <v>Fitness Tracker Garmin</v>
      </c>
      <c r="N30" s="9">
        <f t="shared" si="2"/>
        <v>46166</v>
      </c>
    </row>
    <row r="31" ht="15.75" customHeight="1" spans="1:14">
      <c r="A31" s="10" t="s">
        <v>126</v>
      </c>
      <c r="B31" s="10" t="s">
        <v>127</v>
      </c>
      <c r="C31" s="10" t="s">
        <v>128</v>
      </c>
      <c r="D31" s="10">
        <v>50</v>
      </c>
      <c r="E31" s="10">
        <v>50</v>
      </c>
      <c r="F31" s="10" t="s">
        <v>39</v>
      </c>
      <c r="I31" s="7">
        <f t="shared" si="7"/>
        <v>50</v>
      </c>
      <c r="J31" t="str">
        <f t="shared" si="8"/>
        <v>Fashion</v>
      </c>
      <c r="K31" t="s">
        <v>81</v>
      </c>
      <c r="L31" s="1" t="str">
        <f t="shared" si="3"/>
        <v>02-DEC</v>
      </c>
      <c r="M31" t="str">
        <f t="shared" si="1"/>
        <v>Jeans Levi's</v>
      </c>
      <c r="N31" s="9">
        <f t="shared" si="2"/>
        <v>46358</v>
      </c>
    </row>
    <row r="32" ht="15.75" customHeight="1" spans="1:14">
      <c r="A32" s="10" t="s">
        <v>129</v>
      </c>
      <c r="B32" s="10" t="s">
        <v>130</v>
      </c>
      <c r="C32" s="10" t="s">
        <v>131</v>
      </c>
      <c r="D32" s="10">
        <v>100</v>
      </c>
      <c r="E32" s="10">
        <v>20</v>
      </c>
      <c r="F32" s="10" t="s">
        <v>88</v>
      </c>
      <c r="I32" s="7">
        <f t="shared" si="7"/>
        <v>100</v>
      </c>
      <c r="J32" t="str">
        <f t="shared" si="8"/>
        <v>Accessories</v>
      </c>
      <c r="K32" t="s">
        <v>132</v>
      </c>
      <c r="L32" s="1" t="str">
        <f t="shared" si="3"/>
        <v>09-JUL</v>
      </c>
      <c r="M32" t="str">
        <f t="shared" si="1"/>
        <v>Watch Casio</v>
      </c>
      <c r="N32" s="9">
        <f t="shared" si="2"/>
        <v>46212</v>
      </c>
    </row>
    <row r="33" ht="15.75" customHeight="1" spans="14:14">
      <c r="N33" s="9"/>
    </row>
    <row r="34" ht="15.75" customHeight="1" spans="14:14">
      <c r="N34" s="9"/>
    </row>
    <row r="35" ht="15.75" customHeight="1" spans="14:14">
      <c r="N35" s="9"/>
    </row>
    <row r="36" ht="15.75" customHeight="1" spans="14:14">
      <c r="N36" s="9"/>
    </row>
    <row r="37" ht="15.75" customHeight="1" spans="14:14">
      <c r="N37" s="9"/>
    </row>
    <row r="38" ht="15.75" customHeight="1" spans="14:14">
      <c r="N38" s="9"/>
    </row>
    <row r="39" ht="15.75" customHeight="1" spans="14:14">
      <c r="N39" s="9"/>
    </row>
    <row r="40" ht="15.75" customHeight="1" spans="14:14">
      <c r="N40" s="9"/>
    </row>
    <row r="41" ht="15.75" customHeight="1" spans="14:14">
      <c r="N41" s="9"/>
    </row>
    <row r="42" ht="15.75" customHeight="1" spans="14:14">
      <c r="N42" s="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3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{c8f5544f-6e49-4119-a351-1e19fb165e90}</x14:id>
        </ext>
      </extLst>
    </cfRule>
  </conditionalFormatting>
  <conditionalFormatting sqref="J2:J32">
    <cfRule type="containsText" dxfId="0" priority="2" operator="between" text="Electronics">
      <formula>NOT(ISERROR(SEARCH("Electronics",J2)))</formula>
    </cfRule>
    <cfRule type="containsText" dxfId="1" priority="1" operator="between" text="Electronics">
      <formula>NOT(ISERROR(SEARCH("Electronics",J2)))</formula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f5544f-6e49-4119-a351-1e19fb165e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I2:I32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WPS_1786545275</cp:lastModifiedBy>
  <dcterms:created xsi:type="dcterms:W3CDTF">2026-08-25T18:38:00Z</dcterms:created>
  <dcterms:modified xsi:type="dcterms:W3CDTF">2026-08-26T03:53:01Z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6A802F5976C94AB79CF51BAAC1D39DE8_13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